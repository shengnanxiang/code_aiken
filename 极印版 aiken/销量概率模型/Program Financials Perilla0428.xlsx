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10 Hannto\10 Photo BU\20 热升华照片机\30 Perilla\SI DO\"/>
    </mc:Choice>
  </mc:AlternateContent>
  <xr:revisionPtr revIDLastSave="0" documentId="13_ncr:1_{545981E0-17FA-4347-A1FC-0C0E48AB58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gram Financials Details" sheetId="2" r:id="rId1"/>
    <sheet name="耗材成本" sheetId="1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40" i="2" l="1"/>
  <c r="V40" i="2"/>
  <c r="V41" i="2" s="1"/>
  <c r="U40" i="2"/>
  <c r="T40" i="2"/>
  <c r="T36" i="2"/>
  <c r="T37" i="2" s="1"/>
  <c r="Y35" i="2"/>
  <c r="Y36" i="2" s="1"/>
  <c r="Y37" i="2" s="1"/>
  <c r="W35" i="2"/>
  <c r="U35" i="2"/>
  <c r="U36" i="2" s="1"/>
  <c r="U37" i="2" s="1"/>
  <c r="X33" i="2"/>
  <c r="Y33" i="2" s="1"/>
  <c r="V33" i="2"/>
  <c r="W33" i="2" s="1"/>
  <c r="T33" i="2"/>
  <c r="U33" i="2" s="1"/>
  <c r="X31" i="2"/>
  <c r="Y31" i="2" s="1"/>
  <c r="V31" i="2"/>
  <c r="W31" i="2" s="1"/>
  <c r="U31" i="2"/>
  <c r="T31" i="2"/>
  <c r="V29" i="2"/>
  <c r="T29" i="2"/>
  <c r="X28" i="2"/>
  <c r="Y28" i="2" s="1"/>
  <c r="Y29" i="2" s="1"/>
  <c r="V28" i="2"/>
  <c r="W28" i="2" s="1"/>
  <c r="W29" i="2" s="1"/>
  <c r="T28" i="2"/>
  <c r="U28" i="2" s="1"/>
  <c r="U29" i="2" s="1"/>
  <c r="Y27" i="2"/>
  <c r="W27" i="2"/>
  <c r="U27" i="2"/>
  <c r="U26" i="2"/>
  <c r="T26" i="2"/>
  <c r="Y25" i="2"/>
  <c r="W25" i="2"/>
  <c r="U25" i="2"/>
  <c r="X24" i="2"/>
  <c r="V24" i="2"/>
  <c r="T24" i="2"/>
  <c r="Y23" i="2"/>
  <c r="Y24" i="2" s="1"/>
  <c r="W23" i="2"/>
  <c r="W24" i="2" s="1"/>
  <c r="U23" i="2"/>
  <c r="Y22" i="2"/>
  <c r="W22" i="2"/>
  <c r="U22" i="2"/>
  <c r="U24" i="2" s="1"/>
  <c r="Y21" i="2"/>
  <c r="W21" i="2"/>
  <c r="U21" i="2"/>
  <c r="Y20" i="2"/>
  <c r="W20" i="2"/>
  <c r="U20" i="2"/>
  <c r="Y19" i="2"/>
  <c r="W19" i="2"/>
  <c r="T19" i="2"/>
  <c r="T34" i="2" s="1"/>
  <c r="T38" i="2" s="1"/>
  <c r="T39" i="2" s="1"/>
  <c r="Y18" i="2"/>
  <c r="X18" i="2"/>
  <c r="X36" i="2" s="1"/>
  <c r="X37" i="2" s="1"/>
  <c r="V18" i="2"/>
  <c r="V26" i="2" s="1"/>
  <c r="W26" i="2" s="1"/>
  <c r="U18" i="2"/>
  <c r="L9" i="2"/>
  <c r="L8" i="2"/>
  <c r="L7" i="2"/>
  <c r="L6" i="2"/>
  <c r="C12" i="2"/>
  <c r="L18" i="2"/>
  <c r="R18" i="2" s="1"/>
  <c r="P18" i="2"/>
  <c r="J18" i="2"/>
  <c r="D6" i="14"/>
  <c r="C8" i="14"/>
  <c r="D8" i="14" s="1"/>
  <c r="C4" i="14"/>
  <c r="D4" i="14" s="1"/>
  <c r="D3" i="14"/>
  <c r="D7" i="14"/>
  <c r="D2" i="14"/>
  <c r="T42" i="2" l="1"/>
  <c r="U34" i="2"/>
  <c r="V34" i="2"/>
  <c r="V38" i="2" s="1"/>
  <c r="W18" i="2"/>
  <c r="W34" i="2" s="1"/>
  <c r="X26" i="2"/>
  <c r="Y26" i="2" s="1"/>
  <c r="Y34" i="2" s="1"/>
  <c r="Y38" i="2" s="1"/>
  <c r="Y39" i="2" s="1"/>
  <c r="X29" i="2"/>
  <c r="X34" i="2"/>
  <c r="X38" i="2" s="1"/>
  <c r="X39" i="2" s="1"/>
  <c r="W40" i="2"/>
  <c r="U38" i="2"/>
  <c r="U39" i="2" s="1"/>
  <c r="Y40" i="2"/>
  <c r="T41" i="2"/>
  <c r="W38" i="2"/>
  <c r="W39" i="2" s="1"/>
  <c r="U41" i="2"/>
  <c r="U19" i="2"/>
  <c r="V36" i="2"/>
  <c r="V37" i="2" s="1"/>
  <c r="X41" i="2"/>
  <c r="C5" i="14"/>
  <c r="D5" i="14" s="1"/>
  <c r="C30" i="2"/>
  <c r="E30" i="2"/>
  <c r="G30" i="2"/>
  <c r="G32" i="2"/>
  <c r="E32" i="2"/>
  <c r="C32" i="2"/>
  <c r="Y42" i="2" l="1"/>
  <c r="Y41" i="2"/>
  <c r="W42" i="2"/>
  <c r="W41" i="2"/>
  <c r="V42" i="2"/>
  <c r="V39" i="2"/>
  <c r="X42" i="2"/>
  <c r="U42" i="2"/>
  <c r="W36" i="2"/>
  <c r="W37" i="2" s="1"/>
  <c r="B33" i="2"/>
  <c r="G35" i="2" l="1"/>
  <c r="G27" i="2"/>
  <c r="G25" i="2"/>
  <c r="G23" i="2"/>
  <c r="G22" i="2"/>
  <c r="G24" i="2" s="1"/>
  <c r="G21" i="2"/>
  <c r="G20" i="2"/>
  <c r="G19" i="2"/>
  <c r="G18" i="2"/>
  <c r="E35" i="2"/>
  <c r="E27" i="2"/>
  <c r="E25" i="2"/>
  <c r="E23" i="2"/>
  <c r="E22" i="2"/>
  <c r="E21" i="2"/>
  <c r="E20" i="2"/>
  <c r="E19" i="2"/>
  <c r="E18" i="2"/>
  <c r="G36" i="2" l="1"/>
  <c r="G37" i="2" s="1"/>
  <c r="E36" i="2"/>
  <c r="E37" i="2" s="1"/>
  <c r="E24" i="2"/>
  <c r="N40" i="2"/>
  <c r="N41" i="2" s="1"/>
  <c r="P40" i="2"/>
  <c r="Q40" i="2" s="1"/>
  <c r="J40" i="2"/>
  <c r="K40" i="2" s="1"/>
  <c r="D40" i="2"/>
  <c r="D41" i="2" s="1"/>
  <c r="H40" i="2"/>
  <c r="I40" i="2" s="1"/>
  <c r="F11" i="2"/>
  <c r="R40" i="2"/>
  <c r="R41" i="2" s="1"/>
  <c r="L40" i="2"/>
  <c r="L41" i="2" s="1"/>
  <c r="F40" i="2"/>
  <c r="G40" i="2" s="1"/>
  <c r="R26" i="2"/>
  <c r="S26" i="2" s="1"/>
  <c r="P26" i="2"/>
  <c r="N26" i="2"/>
  <c r="O26" i="2" s="1"/>
  <c r="L26" i="2"/>
  <c r="M26" i="2" s="1"/>
  <c r="J26" i="2"/>
  <c r="H26" i="2"/>
  <c r="I26" i="2" s="1"/>
  <c r="R28" i="2"/>
  <c r="S28" i="2" s="1"/>
  <c r="S29" i="2" s="1"/>
  <c r="P28" i="2"/>
  <c r="Q28" i="2" s="1"/>
  <c r="Q29" i="2" s="1"/>
  <c r="L28" i="2"/>
  <c r="M28" i="2" s="1"/>
  <c r="M29" i="2" s="1"/>
  <c r="J28" i="2"/>
  <c r="K28" i="2" s="1"/>
  <c r="K29" i="2" s="1"/>
  <c r="F28" i="2"/>
  <c r="G28" i="2" s="1"/>
  <c r="G29" i="2" s="1"/>
  <c r="D28" i="2"/>
  <c r="E28" i="2" s="1"/>
  <c r="E29" i="2" s="1"/>
  <c r="S27" i="2"/>
  <c r="Q27" i="2"/>
  <c r="O27" i="2"/>
  <c r="M27" i="2"/>
  <c r="K27" i="2"/>
  <c r="I27" i="2"/>
  <c r="C27" i="2"/>
  <c r="P31" i="2"/>
  <c r="Q31" i="2" s="1"/>
  <c r="P24" i="2"/>
  <c r="J31" i="2"/>
  <c r="K31" i="2" s="1"/>
  <c r="J24" i="2"/>
  <c r="R36" i="2"/>
  <c r="R37" i="2" s="1"/>
  <c r="R33" i="2"/>
  <c r="S33" i="2" s="1"/>
  <c r="S35" i="2"/>
  <c r="R31" i="2"/>
  <c r="S31" i="2" s="1"/>
  <c r="S25" i="2"/>
  <c r="R24" i="2"/>
  <c r="S23" i="2"/>
  <c r="S22" i="2"/>
  <c r="S21" i="2"/>
  <c r="S20" i="2"/>
  <c r="S19" i="2"/>
  <c r="S18" i="2"/>
  <c r="L36" i="2"/>
  <c r="L37" i="2" s="1"/>
  <c r="L33" i="2"/>
  <c r="M33" i="2" s="1"/>
  <c r="M35" i="2"/>
  <c r="L31" i="2"/>
  <c r="M31" i="2" s="1"/>
  <c r="M25" i="2"/>
  <c r="L24" i="2"/>
  <c r="M23" i="2"/>
  <c r="M22" i="2"/>
  <c r="M21" i="2"/>
  <c r="M20" i="2"/>
  <c r="M19" i="2"/>
  <c r="M18" i="2"/>
  <c r="F36" i="2"/>
  <c r="F37" i="2" s="1"/>
  <c r="F33" i="2"/>
  <c r="G33" i="2" s="1"/>
  <c r="F31" i="2"/>
  <c r="G31" i="2" s="1"/>
  <c r="F26" i="2"/>
  <c r="G26" i="2" s="1"/>
  <c r="F24" i="2"/>
  <c r="Q35" i="2"/>
  <c r="Q25" i="2"/>
  <c r="Q23" i="2"/>
  <c r="Q22" i="2"/>
  <c r="Q21" i="2"/>
  <c r="Q20" i="2"/>
  <c r="Q19" i="2"/>
  <c r="Q18" i="2"/>
  <c r="O35" i="2"/>
  <c r="O25" i="2"/>
  <c r="O23" i="2"/>
  <c r="O22" i="2"/>
  <c r="O21" i="2"/>
  <c r="O20" i="2"/>
  <c r="O18" i="2"/>
  <c r="N31" i="2"/>
  <c r="O31" i="2" s="1"/>
  <c r="N28" i="2"/>
  <c r="O28" i="2" s="1"/>
  <c r="O29" i="2" s="1"/>
  <c r="N24" i="2"/>
  <c r="K35" i="2"/>
  <c r="K25" i="2"/>
  <c r="K23" i="2"/>
  <c r="K22" i="2"/>
  <c r="K21" i="2"/>
  <c r="K20" i="2"/>
  <c r="K19" i="2"/>
  <c r="K18" i="2"/>
  <c r="I35" i="2"/>
  <c r="I25" i="2"/>
  <c r="I23" i="2"/>
  <c r="I22" i="2"/>
  <c r="I21" i="2"/>
  <c r="I20" i="2"/>
  <c r="I18" i="2"/>
  <c r="C35" i="2"/>
  <c r="B26" i="2"/>
  <c r="C25" i="2"/>
  <c r="C23" i="2"/>
  <c r="C22" i="2"/>
  <c r="C18" i="2"/>
  <c r="P36" i="2"/>
  <c r="P37" i="2" s="1"/>
  <c r="P33" i="2"/>
  <c r="Q33" i="2" s="1"/>
  <c r="J36" i="2"/>
  <c r="J37" i="2" s="1"/>
  <c r="J33" i="2"/>
  <c r="K33" i="2" s="1"/>
  <c r="D36" i="2"/>
  <c r="D37" i="2" s="1"/>
  <c r="D33" i="2"/>
  <c r="E33" i="2" s="1"/>
  <c r="D31" i="2"/>
  <c r="E31" i="2" s="1"/>
  <c r="D26" i="2"/>
  <c r="D24" i="2"/>
  <c r="N36" i="2"/>
  <c r="N37" i="2" s="1"/>
  <c r="N33" i="2"/>
  <c r="O33" i="2" s="1"/>
  <c r="H36" i="2"/>
  <c r="H37" i="2" s="1"/>
  <c r="H33" i="2"/>
  <c r="I33" i="2" s="1"/>
  <c r="H31" i="2"/>
  <c r="I31" i="2" s="1"/>
  <c r="H28" i="2"/>
  <c r="I28" i="2" s="1"/>
  <c r="I29" i="2" s="1"/>
  <c r="H24" i="2"/>
  <c r="C33" i="2"/>
  <c r="B31" i="2"/>
  <c r="C31" i="2" s="1"/>
  <c r="D29" i="2" l="1"/>
  <c r="G34" i="2"/>
  <c r="G38" i="2" s="1"/>
  <c r="L29" i="2"/>
  <c r="L34" i="2"/>
  <c r="L38" i="2" s="1"/>
  <c r="C26" i="2"/>
  <c r="Q26" i="2"/>
  <c r="K26" i="2"/>
  <c r="D34" i="2"/>
  <c r="D38" i="2" s="1"/>
  <c r="E26" i="2"/>
  <c r="E34" i="2" s="1"/>
  <c r="Q41" i="2"/>
  <c r="K41" i="2"/>
  <c r="I41" i="2"/>
  <c r="B40" i="2"/>
  <c r="C40" i="2" s="1"/>
  <c r="B21" i="2"/>
  <c r="C21" i="2" s="1"/>
  <c r="B20" i="2"/>
  <c r="F29" i="2"/>
  <c r="F34" i="2" s="1"/>
  <c r="F38" i="2" s="1"/>
  <c r="N29" i="2"/>
  <c r="H29" i="2"/>
  <c r="P29" i="2"/>
  <c r="P34" i="2" s="1"/>
  <c r="P38" i="2" s="1"/>
  <c r="J29" i="2"/>
  <c r="J34" i="2" s="1"/>
  <c r="J38" i="2" s="1"/>
  <c r="R29" i="2"/>
  <c r="R34" i="2" s="1"/>
  <c r="R38" i="2" s="1"/>
  <c r="M24" i="2"/>
  <c r="M34" i="2" s="1"/>
  <c r="M38" i="2" s="1"/>
  <c r="S24" i="2"/>
  <c r="S34" i="2" s="1"/>
  <c r="S38" i="2" s="1"/>
  <c r="B52" i="2"/>
  <c r="P41" i="2"/>
  <c r="F41" i="2"/>
  <c r="G41" i="2"/>
  <c r="J41" i="2"/>
  <c r="H41" i="2"/>
  <c r="S36" i="2"/>
  <c r="S37" i="2" s="1"/>
  <c r="S40" i="2"/>
  <c r="S41" i="2" s="1"/>
  <c r="M36" i="2"/>
  <c r="M37" i="2" s="1"/>
  <c r="M40" i="2"/>
  <c r="M41" i="2" s="1"/>
  <c r="O36" i="2"/>
  <c r="O37" i="2" s="1"/>
  <c r="O40" i="2"/>
  <c r="O41" i="2" s="1"/>
  <c r="E40" i="2"/>
  <c r="I24" i="2"/>
  <c r="O24" i="2"/>
  <c r="K24" i="2"/>
  <c r="Q24" i="2"/>
  <c r="Q36" i="2"/>
  <c r="Q37" i="2" s="1"/>
  <c r="K36" i="2"/>
  <c r="K37" i="2" s="1"/>
  <c r="I36" i="2"/>
  <c r="I37" i="2" s="1"/>
  <c r="C36" i="2"/>
  <c r="C37" i="2" s="1"/>
  <c r="C24" i="2"/>
  <c r="G39" i="2" l="1"/>
  <c r="G42" i="2"/>
  <c r="K34" i="2"/>
  <c r="K38" i="2" s="1"/>
  <c r="K42" i="2" s="1"/>
  <c r="Q34" i="2"/>
  <c r="Q38" i="2" s="1"/>
  <c r="Q39" i="2" s="1"/>
  <c r="C41" i="2"/>
  <c r="B47" i="2" s="1"/>
  <c r="E38" i="2"/>
  <c r="E39" i="2" s="1"/>
  <c r="P39" i="2"/>
  <c r="C20" i="2"/>
  <c r="B41" i="2"/>
  <c r="D42" i="2"/>
  <c r="F42" i="2"/>
  <c r="E41" i="2"/>
  <c r="S39" i="2"/>
  <c r="S42" i="2"/>
  <c r="R39" i="2"/>
  <c r="R42" i="2"/>
  <c r="L39" i="2"/>
  <c r="L42" i="2"/>
  <c r="M39" i="2"/>
  <c r="M42" i="2"/>
  <c r="J39" i="2"/>
  <c r="J42" i="2"/>
  <c r="E42" i="2" l="1"/>
  <c r="P42" i="2"/>
  <c r="Q42" i="2"/>
  <c r="D39" i="2"/>
  <c r="F39" i="2"/>
  <c r="B48" i="2"/>
  <c r="B46" i="2" s="1"/>
  <c r="K39" i="2"/>
  <c r="B51" i="2" l="1"/>
  <c r="N19" i="2" l="1"/>
  <c r="N34" i="2" s="1"/>
  <c r="N38" i="2" s="1"/>
  <c r="N42" i="2" l="1"/>
  <c r="O19" i="2"/>
  <c r="B19" i="2"/>
  <c r="H19" i="2"/>
  <c r="H34" i="2" s="1"/>
  <c r="H38" i="2" s="1"/>
  <c r="O34" i="2" l="1"/>
  <c r="O38" i="2" s="1"/>
  <c r="O42" i="2" s="1"/>
  <c r="I19" i="2"/>
  <c r="C19" i="2"/>
  <c r="N39" i="2"/>
  <c r="O39" i="2" l="1"/>
  <c r="I34" i="2"/>
  <c r="I38" i="2" s="1"/>
  <c r="I42" i="2" s="1"/>
  <c r="H39" i="2"/>
  <c r="H42" i="2"/>
  <c r="I39" i="2" l="1"/>
  <c r="B36" i="2"/>
  <c r="B37" i="2" s="1"/>
  <c r="B28" i="2" l="1"/>
  <c r="B24" i="2"/>
  <c r="C28" i="2" l="1"/>
  <c r="C29" i="2" s="1"/>
  <c r="B29" i="2"/>
  <c r="B34" i="2" s="1"/>
  <c r="B38" i="2" s="1"/>
  <c r="C34" i="2" l="1"/>
  <c r="C38" i="2" s="1"/>
  <c r="C39" i="2" l="1"/>
  <c r="C42" i="2"/>
  <c r="B50" i="2" s="1"/>
  <c r="B49" i="2" s="1"/>
  <c r="B53" i="2" l="1"/>
  <c r="B42" i="2" l="1"/>
  <c r="B39" i="2" l="1"/>
</calcChain>
</file>

<file path=xl/sharedStrings.xml><?xml version="1.0" encoding="utf-8"?>
<sst xmlns="http://schemas.openxmlformats.org/spreadsheetml/2006/main" count="112" uniqueCount="90">
  <si>
    <t>模具</t>
    <rPh sb="0" eb="2">
      <t>mu'j</t>
    </rPh>
    <phoneticPr fontId="3" type="noConversion"/>
  </si>
  <si>
    <t>治具</t>
    <rPh sb="0" eb="2">
      <t>zhi'j</t>
    </rPh>
    <phoneticPr fontId="3" type="noConversion"/>
  </si>
  <si>
    <t>测试</t>
    <rPh sb="0" eb="2">
      <t>ce'sh</t>
    </rPh>
    <phoneticPr fontId="3" type="noConversion"/>
  </si>
  <si>
    <t>认证</t>
    <rPh sb="0" eb="2">
      <t>reng'zhen</t>
    </rPh>
    <phoneticPr fontId="3" type="noConversion"/>
  </si>
  <si>
    <t>研发费用汇总</t>
    <rPh sb="0" eb="1">
      <t>yan'fa'fei</t>
    </rPh>
    <phoneticPr fontId="3" type="noConversion"/>
  </si>
  <si>
    <t>汉图MOH</t>
    <rPh sb="0" eb="1">
      <t>han't</t>
    </rPh>
    <phoneticPr fontId="3" type="noConversion"/>
  </si>
  <si>
    <t>Logistics Cost</t>
    <phoneticPr fontId="3" type="noConversion"/>
  </si>
  <si>
    <t>返修率</t>
    <rPh sb="0" eb="1">
      <t>fan'xiu'l</t>
    </rPh>
    <phoneticPr fontId="3" type="noConversion"/>
  </si>
  <si>
    <t>返修费用</t>
    <rPh sb="0" eb="2">
      <t>fan'xiu</t>
    </rPh>
    <phoneticPr fontId="3" type="noConversion"/>
  </si>
  <si>
    <t>Service Cost</t>
    <phoneticPr fontId="3" type="noConversion"/>
  </si>
  <si>
    <t>资金成本率</t>
    <rPh sb="0" eb="1">
      <t>zi'ji</t>
    </rPh>
    <phoneticPr fontId="3" type="noConversion"/>
  </si>
  <si>
    <t>资金成本</t>
    <phoneticPr fontId="3" type="noConversion"/>
  </si>
  <si>
    <t>Total COS</t>
    <phoneticPr fontId="3" type="noConversion"/>
  </si>
  <si>
    <t>收入（含分成）</t>
    <rPh sb="0" eb="2">
      <t>shou'r</t>
    </rPh>
    <phoneticPr fontId="3" type="noConversion"/>
  </si>
  <si>
    <t>销售费用/unit</t>
    <phoneticPr fontId="3" type="noConversion"/>
  </si>
  <si>
    <t>毛利/unit（含税）</t>
    <phoneticPr fontId="3" type="noConversion"/>
  </si>
  <si>
    <t>毛利率</t>
    <phoneticPr fontId="3" type="noConversion"/>
  </si>
  <si>
    <t>净利/unit（含税）</t>
    <phoneticPr fontId="3" type="noConversion"/>
  </si>
  <si>
    <t>净利率</t>
    <phoneticPr fontId="3" type="noConversion"/>
  </si>
  <si>
    <t>Program name</t>
    <phoneticPr fontId="3" type="noConversion"/>
  </si>
  <si>
    <t>第一年销量</t>
    <rPh sb="0" eb="2">
      <t>xiao</t>
    </rPh>
    <phoneticPr fontId="3" type="noConversion"/>
  </si>
  <si>
    <t>第二年销量</t>
    <rPh sb="0" eb="2">
      <t>han't</t>
    </rPh>
    <phoneticPr fontId="3" type="noConversion"/>
  </si>
  <si>
    <t>第三年销量</t>
    <rPh sb="0" eb="2">
      <t>mei'yua</t>
    </rPh>
    <phoneticPr fontId="3" type="noConversion"/>
  </si>
  <si>
    <t>YEAR 1</t>
    <phoneticPr fontId="3" type="noConversion"/>
  </si>
  <si>
    <t>YEAR 2</t>
    <phoneticPr fontId="3" type="noConversion"/>
  </si>
  <si>
    <t>YEAR 3</t>
    <phoneticPr fontId="3" type="noConversion"/>
  </si>
  <si>
    <t>其他</t>
    <phoneticPr fontId="3" type="noConversion"/>
  </si>
  <si>
    <t>汉图MOH比例</t>
    <rPh sb="0" eb="1">
      <t>han't</t>
    </rPh>
    <phoneticPr fontId="3" type="noConversion"/>
  </si>
  <si>
    <t>Volumn</t>
    <phoneticPr fontId="3" type="noConversion"/>
  </si>
  <si>
    <t>销售费用%</t>
    <phoneticPr fontId="3" type="noConversion"/>
  </si>
  <si>
    <t>研发NRE (含CCOW)</t>
    <rPh sb="0" eb="2">
      <t>yan'f</t>
    </rPh>
    <phoneticPr fontId="3" type="noConversion"/>
  </si>
  <si>
    <t>Royalty, License, Usage/unit</t>
    <phoneticPr fontId="3" type="noConversion"/>
  </si>
  <si>
    <t>模具治具摊销/unit</t>
    <phoneticPr fontId="3" type="noConversion"/>
  </si>
  <si>
    <t>研发费用摊销/unit</t>
    <phoneticPr fontId="3" type="noConversion"/>
  </si>
  <si>
    <t>物流（工厂到仓库）/unit</t>
    <rPh sb="0" eb="9">
      <t>wu'ligong'chan</t>
    </rPh>
    <phoneticPr fontId="3" type="noConversion"/>
  </si>
  <si>
    <t>物流（仓库到用户）/unit</t>
    <rPh sb="0" eb="2">
      <t>cang'k</t>
    </rPh>
    <phoneticPr fontId="3" type="noConversion"/>
  </si>
  <si>
    <t>Profit Total</t>
    <phoneticPr fontId="3" type="noConversion"/>
  </si>
  <si>
    <t>ROI</t>
    <phoneticPr fontId="3" type="noConversion"/>
  </si>
  <si>
    <t>打印机
（含税）</t>
    <rPh sb="0" eb="2">
      <t>da'yin'j</t>
    </rPh>
    <phoneticPr fontId="3" type="noConversion"/>
  </si>
  <si>
    <t>打印机
（不含税）</t>
    <rPh sb="0" eb="2">
      <t>da'yin'j</t>
    </rPh>
    <phoneticPr fontId="3" type="noConversion"/>
  </si>
  <si>
    <t>MPC（出厂价）</t>
    <phoneticPr fontId="3" type="noConversion"/>
  </si>
  <si>
    <t>总收入</t>
    <phoneticPr fontId="3" type="noConversion"/>
  </si>
  <si>
    <t>总净利</t>
    <phoneticPr fontId="3" type="noConversion"/>
  </si>
  <si>
    <t>第四年销量</t>
    <rPh sb="0" eb="2">
      <t>mei'yua</t>
    </rPh>
    <phoneticPr fontId="3" type="noConversion"/>
  </si>
  <si>
    <t>life revenue HW</t>
    <phoneticPr fontId="3" type="noConversion"/>
  </si>
  <si>
    <t>Life Revenue Supplies</t>
    <phoneticPr fontId="3" type="noConversion"/>
  </si>
  <si>
    <t>Life Revenue Total</t>
    <phoneticPr fontId="3" type="noConversion"/>
  </si>
  <si>
    <t>investment</t>
    <phoneticPr fontId="3" type="noConversion"/>
  </si>
  <si>
    <t>Profit HW</t>
    <phoneticPr fontId="3" type="noConversion"/>
  </si>
  <si>
    <t>Profit Supplies</t>
    <phoneticPr fontId="3" type="noConversion"/>
  </si>
  <si>
    <t>返修成本HW（含税）</t>
    <rPh sb="0" eb="2">
      <t>fan'xi</t>
    </rPh>
    <phoneticPr fontId="3" type="noConversion"/>
  </si>
  <si>
    <t>Royalty（Airprint)</t>
    <phoneticPr fontId="3" type="noConversion"/>
  </si>
  <si>
    <t>Royalty（GGS)</t>
    <phoneticPr fontId="3" type="noConversion"/>
  </si>
  <si>
    <t>Royalty（Adobe)</t>
    <phoneticPr fontId="3" type="noConversion"/>
  </si>
  <si>
    <t>Royalty（WPS)</t>
    <phoneticPr fontId="3" type="noConversion"/>
  </si>
  <si>
    <t>Royalty (Others)</t>
    <phoneticPr fontId="3" type="noConversion"/>
  </si>
  <si>
    <t>Royalty (Total)</t>
    <phoneticPr fontId="3" type="noConversion"/>
  </si>
  <si>
    <t>OS</t>
    <phoneticPr fontId="3" type="noConversion"/>
  </si>
  <si>
    <t>返修成本 Supplies （含税）</t>
    <phoneticPr fontId="3" type="noConversion"/>
  </si>
  <si>
    <t>返修成本 Supplies （含税）</t>
    <phoneticPr fontId="3" type="noConversion"/>
  </si>
  <si>
    <t>耗材</t>
    <phoneticPr fontId="3" type="noConversion"/>
  </si>
  <si>
    <t>耗材-2
（不含税）</t>
    <rPh sb="0" eb="2">
      <t>xiang zhi</t>
    </rPh>
    <phoneticPr fontId="3" type="noConversion"/>
  </si>
  <si>
    <t xml:space="preserve"> </t>
    <phoneticPr fontId="3" type="noConversion"/>
  </si>
  <si>
    <t>耗材-1色带
（含税）</t>
    <rPh sb="0" eb="2">
      <t>xiang zhi</t>
    </rPh>
    <phoneticPr fontId="3" type="noConversion"/>
  </si>
  <si>
    <t>耗材-1色带
（不含税）</t>
    <rPh sb="0" eb="2">
      <t>xiang zhi</t>
    </rPh>
    <phoneticPr fontId="3" type="noConversion"/>
  </si>
  <si>
    <t>耗材-2相纸
（含税）</t>
    <rPh sb="0" eb="2">
      <t>xiang zhi</t>
    </rPh>
    <phoneticPr fontId="3" type="noConversion"/>
  </si>
  <si>
    <t>耗材-2相纸
（不含税）</t>
    <rPh sb="0" eb="2">
      <t>xiang zhi</t>
    </rPh>
    <phoneticPr fontId="3" type="noConversion"/>
  </si>
  <si>
    <t>主机售价</t>
    <rPh sb="0" eb="2">
      <t>fan'xi</t>
    </rPh>
    <phoneticPr fontId="3" type="noConversion"/>
  </si>
  <si>
    <t>色带售价</t>
    <phoneticPr fontId="3" type="noConversion"/>
  </si>
  <si>
    <t>相纸售价</t>
    <phoneticPr fontId="3" type="noConversion"/>
  </si>
  <si>
    <t>汇率</t>
    <phoneticPr fontId="3" type="noConversion"/>
  </si>
  <si>
    <t>色带单张</t>
    <phoneticPr fontId="3" type="noConversion"/>
  </si>
  <si>
    <t>未税</t>
    <phoneticPr fontId="3" type="noConversion"/>
  </si>
  <si>
    <t>含税</t>
    <phoneticPr fontId="3" type="noConversion"/>
  </si>
  <si>
    <t>相纸40张</t>
    <phoneticPr fontId="3" type="noConversion"/>
  </si>
  <si>
    <t>相纸单张</t>
    <phoneticPr fontId="3" type="noConversion"/>
  </si>
  <si>
    <t>相纸36张</t>
    <phoneticPr fontId="3" type="noConversion"/>
  </si>
  <si>
    <t>相纸36张+包装</t>
    <phoneticPr fontId="3" type="noConversion"/>
  </si>
  <si>
    <t>色带36张+包装</t>
    <phoneticPr fontId="3" type="noConversion"/>
  </si>
  <si>
    <t>色带+相纸+包装</t>
    <phoneticPr fontId="3" type="noConversion"/>
  </si>
  <si>
    <t>耗材-1
（含税）</t>
    <rPh sb="0" eb="2">
      <t>xiang zhi</t>
    </rPh>
    <phoneticPr fontId="3" type="noConversion"/>
  </si>
  <si>
    <t>耗材-1
（不含税）</t>
    <rPh sb="0" eb="2">
      <t>xiang zhi</t>
    </rPh>
    <phoneticPr fontId="3" type="noConversion"/>
  </si>
  <si>
    <t>耗材-2
（含税）</t>
    <rPh sb="0" eb="2">
      <t>xiang zhi</t>
    </rPh>
    <phoneticPr fontId="3" type="noConversion"/>
  </si>
  <si>
    <t>汉图实际研发费用</t>
    <phoneticPr fontId="3" type="noConversion"/>
  </si>
  <si>
    <t>富士支付研发费用</t>
    <phoneticPr fontId="3" type="noConversion"/>
  </si>
  <si>
    <t>主机</t>
    <phoneticPr fontId="3" type="noConversion"/>
  </si>
  <si>
    <t>耗材-6寸</t>
    <phoneticPr fontId="3" type="noConversion"/>
  </si>
  <si>
    <t>耗材 - 3寸</t>
    <phoneticPr fontId="3" type="noConversion"/>
  </si>
  <si>
    <t>YEAR 4</t>
    <phoneticPr fontId="3" type="noConversion"/>
  </si>
  <si>
    <t>Perilla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</si>
</sst>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¥&quot;#,##0;&quot;¥&quot;\-#,##0"/>
    <numFmt numFmtId="41" formatCode="_ * #,##0_ ;_ * \-#,##0_ ;_ * &quot;-&quot;_ ;_ @_ "/>
    <numFmt numFmtId="43" formatCode="_ * #,##0.00_ ;_ * \-#,##0.00_ ;_ * &quot;-&quot;??_ ;_ @_ "/>
    <numFmt numFmtId="26" formatCode="\$#,##0.00_);[Red]\(\$#,##0.00\)"/>
    <numFmt numFmtId="176" formatCode="&quot;¥&quot;#,##0_);[Red]\(&quot;¥&quot;#,##0\)"/>
    <numFmt numFmtId="177" formatCode="&quot;¥&quot;#,##0.00_);[Red]\(&quot;¥&quot;#,##0.00\)"/>
    <numFmt numFmtId="178" formatCode="_ * #,##0_ ;_ * \-#,##0_ ;_ * &quot;-&quot;??_ ;_ @_ "/>
    <numFmt numFmtId="179" formatCode="\¥#,##0_);[Red]\(\¥#,##0\)"/>
    <numFmt numFmtId="180" formatCode="0.00_ "/>
  </numFmts>
  <fonts count="25" x14ac:knownFonts="1">
    <font>
      <sz val="11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22"/>
      <color rgb="FFFF0000"/>
      <name val="等线"/>
      <family val="4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  <font>
      <sz val="12"/>
      <color theme="2" tint="-0.499984740745262"/>
      <name val="等线"/>
      <family val="4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color theme="0" tint="-0.499984740745262"/>
      <name val="等线"/>
      <family val="3"/>
      <charset val="134"/>
      <scheme val="minor"/>
    </font>
    <font>
      <sz val="12"/>
      <color theme="0" tint="-0.499984740745262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22"/>
      <name val="等线"/>
      <family val="4"/>
      <charset val="134"/>
      <scheme val="minor"/>
    </font>
    <font>
      <sz val="12"/>
      <name val="等线"/>
      <family val="2"/>
      <charset val="134"/>
      <scheme val="minor"/>
    </font>
    <font>
      <b/>
      <sz val="12"/>
      <name val="等线"/>
      <family val="3"/>
      <charset val="134"/>
      <scheme val="minor"/>
    </font>
    <font>
      <sz val="12"/>
      <color theme="0" tint="-0.499984740745262"/>
      <name val="等线"/>
      <family val="4"/>
      <charset val="134"/>
      <scheme val="minor"/>
    </font>
    <font>
      <sz val="12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1" tint="0.499984740745262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1" fillId="0" borderId="0">
      <alignment vertical="center"/>
    </xf>
    <xf numFmtId="0" fontId="5" fillId="4" borderId="2" applyNumberFormat="0" applyAlignment="0" applyProtection="0">
      <alignment vertical="center"/>
    </xf>
    <xf numFmtId="0" fontId="6" fillId="2" borderId="1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1" applyNumberForma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</cellStyleXfs>
  <cellXfs count="111">
    <xf numFmtId="0" fontId="0" fillId="0" borderId="0" xfId="0">
      <alignment vertical="center"/>
    </xf>
    <xf numFmtId="0" fontId="2" fillId="0" borderId="0" xfId="1" applyFont="1">
      <alignment vertical="center"/>
    </xf>
    <xf numFmtId="0" fontId="7" fillId="0" borderId="0" xfId="4" applyAlignment="1">
      <alignment vertical="center"/>
    </xf>
    <xf numFmtId="0" fontId="1" fillId="0" borderId="0" xfId="1">
      <alignment vertical="center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 wrapText="1"/>
    </xf>
    <xf numFmtId="0" fontId="11" fillId="0" borderId="0" xfId="1" applyFont="1" applyAlignment="1">
      <alignment horizontal="right" vertical="center" wrapText="1"/>
    </xf>
    <xf numFmtId="0" fontId="12" fillId="0" borderId="0" xfId="1" applyFont="1" applyAlignment="1">
      <alignment horizontal="right" vertical="center"/>
    </xf>
    <xf numFmtId="0" fontId="1" fillId="0" borderId="0" xfId="1" applyAlignment="1">
      <alignment horizontal="right" vertical="center"/>
    </xf>
    <xf numFmtId="178" fontId="1" fillId="0" borderId="0" xfId="7" applyNumberFormat="1" applyFont="1" applyBorder="1">
      <alignment vertical="center"/>
    </xf>
    <xf numFmtId="178" fontId="1" fillId="0" borderId="0" xfId="1" applyNumberFormat="1">
      <alignment vertical="center"/>
    </xf>
    <xf numFmtId="0" fontId="0" fillId="0" borderId="0" xfId="0" applyAlignment="1">
      <alignment horizontal="center" vertical="center"/>
    </xf>
    <xf numFmtId="0" fontId="4" fillId="0" borderId="0" xfId="1" applyFont="1">
      <alignment vertical="center"/>
    </xf>
    <xf numFmtId="0" fontId="15" fillId="7" borderId="0" xfId="1" applyFont="1" applyFill="1">
      <alignment vertical="center"/>
    </xf>
    <xf numFmtId="0" fontId="15" fillId="0" borderId="0" xfId="1" applyFont="1">
      <alignment vertical="center"/>
    </xf>
    <xf numFmtId="0" fontId="4" fillId="0" borderId="0" xfId="1" applyFont="1" applyAlignment="1">
      <alignment horizontal="center" vertical="center"/>
    </xf>
    <xf numFmtId="0" fontId="9" fillId="0" borderId="0" xfId="1" applyFont="1" applyAlignment="1">
      <alignment horizontal="right" vertical="center" wrapText="1"/>
    </xf>
    <xf numFmtId="0" fontId="18" fillId="0" borderId="0" xfId="1" applyFont="1" applyAlignment="1">
      <alignment horizontal="right" vertical="center" wrapText="1"/>
    </xf>
    <xf numFmtId="0" fontId="12" fillId="0" borderId="0" xfId="1" applyFont="1" applyAlignment="1">
      <alignment horizontal="right" vertical="center" wrapText="1"/>
    </xf>
    <xf numFmtId="0" fontId="16" fillId="0" borderId="0" xfId="1" applyFont="1">
      <alignment vertical="center"/>
    </xf>
    <xf numFmtId="0" fontId="19" fillId="0" borderId="0" xfId="1" applyFont="1">
      <alignment vertical="center"/>
    </xf>
    <xf numFmtId="0" fontId="11" fillId="8" borderId="6" xfId="1" applyFont="1" applyFill="1" applyBorder="1" applyAlignment="1">
      <alignment horizontal="center" vertical="center" wrapText="1"/>
    </xf>
    <xf numFmtId="0" fontId="11" fillId="8" borderId="0" xfId="1" applyFont="1" applyFill="1" applyAlignment="1">
      <alignment horizontal="center" vertical="center" wrapText="1"/>
    </xf>
    <xf numFmtId="0" fontId="11" fillId="8" borderId="7" xfId="1" applyFont="1" applyFill="1" applyBorder="1" applyAlignment="1">
      <alignment horizontal="center" vertical="center" wrapText="1"/>
    </xf>
    <xf numFmtId="0" fontId="21" fillId="0" borderId="0" xfId="1" applyFont="1">
      <alignment vertical="center"/>
    </xf>
    <xf numFmtId="0" fontId="20" fillId="0" borderId="0" xfId="1" applyFont="1">
      <alignment vertical="center"/>
    </xf>
    <xf numFmtId="177" fontId="10" fillId="5" borderId="6" xfId="5" applyNumberFormat="1" applyFont="1" applyFill="1" applyBorder="1" applyAlignment="1">
      <alignment horizontal="center" vertical="center" wrapText="1"/>
    </xf>
    <xf numFmtId="177" fontId="10" fillId="5" borderId="0" xfId="5" applyNumberFormat="1" applyFont="1" applyFill="1" applyBorder="1" applyAlignment="1">
      <alignment horizontal="center" vertical="center" wrapText="1"/>
    </xf>
    <xf numFmtId="177" fontId="10" fillId="5" borderId="7" xfId="5" applyNumberFormat="1" applyFont="1" applyFill="1" applyBorder="1" applyAlignment="1">
      <alignment horizontal="center" vertical="center" wrapText="1"/>
    </xf>
    <xf numFmtId="177" fontId="6" fillId="5" borderId="7" xfId="3" applyNumberFormat="1" applyFill="1" applyBorder="1" applyAlignment="1">
      <alignment horizontal="center" vertical="center"/>
    </xf>
    <xf numFmtId="10" fontId="6" fillId="5" borderId="7" xfId="3" applyNumberFormat="1" applyFill="1" applyBorder="1" applyAlignment="1">
      <alignment horizontal="center" vertical="center"/>
    </xf>
    <xf numFmtId="177" fontId="13" fillId="5" borderId="7" xfId="3" applyNumberFormat="1" applyFont="1" applyFill="1" applyBorder="1" applyAlignment="1">
      <alignment horizontal="center" vertical="center"/>
    </xf>
    <xf numFmtId="177" fontId="11" fillId="5" borderId="7" xfId="5" applyNumberFormat="1" applyFont="1" applyFill="1" applyBorder="1" applyAlignment="1">
      <alignment horizontal="center" vertical="center"/>
    </xf>
    <xf numFmtId="177" fontId="17" fillId="5" borderId="7" xfId="3" applyNumberFormat="1" applyFont="1" applyFill="1" applyBorder="1" applyAlignment="1">
      <alignment horizontal="center" vertical="center"/>
    </xf>
    <xf numFmtId="9" fontId="17" fillId="5" borderId="7" xfId="6" applyFont="1" applyFill="1" applyBorder="1" applyAlignment="1">
      <alignment horizontal="center" vertical="center"/>
    </xf>
    <xf numFmtId="177" fontId="13" fillId="5" borderId="7" xfId="1" applyNumberFormat="1" applyFont="1" applyFill="1" applyBorder="1" applyAlignment="1">
      <alignment horizontal="center" vertical="center"/>
    </xf>
    <xf numFmtId="178" fontId="1" fillId="5" borderId="7" xfId="7" applyNumberFormat="1" applyFont="1" applyFill="1" applyBorder="1">
      <alignment vertical="center"/>
    </xf>
    <xf numFmtId="178" fontId="11" fillId="5" borderId="7" xfId="7" applyNumberFormat="1" applyFont="1" applyFill="1" applyBorder="1">
      <alignment vertical="center"/>
    </xf>
    <xf numFmtId="178" fontId="11" fillId="5" borderId="10" xfId="7" applyNumberFormat="1" applyFont="1" applyFill="1" applyBorder="1">
      <alignment vertical="center"/>
    </xf>
    <xf numFmtId="177" fontId="6" fillId="5" borderId="0" xfId="3" applyNumberFormat="1" applyFill="1" applyBorder="1" applyAlignment="1">
      <alignment horizontal="center" vertical="center"/>
    </xf>
    <xf numFmtId="10" fontId="6" fillId="5" borderId="0" xfId="3" applyNumberFormat="1" applyFill="1" applyBorder="1" applyAlignment="1">
      <alignment horizontal="center" vertical="center"/>
    </xf>
    <xf numFmtId="177" fontId="13" fillId="5" borderId="0" xfId="3" applyNumberFormat="1" applyFont="1" applyFill="1" applyBorder="1" applyAlignment="1">
      <alignment horizontal="center" vertical="center"/>
    </xf>
    <xf numFmtId="177" fontId="11" fillId="5" borderId="0" xfId="5" applyNumberFormat="1" applyFont="1" applyFill="1" applyBorder="1" applyAlignment="1">
      <alignment horizontal="center" vertical="center"/>
    </xf>
    <xf numFmtId="177" fontId="17" fillId="5" borderId="0" xfId="3" applyNumberFormat="1" applyFont="1" applyFill="1" applyBorder="1" applyAlignment="1">
      <alignment horizontal="center" vertical="center"/>
    </xf>
    <xf numFmtId="9" fontId="17" fillId="5" borderId="0" xfId="6" applyFont="1" applyFill="1" applyBorder="1" applyAlignment="1">
      <alignment horizontal="center" vertical="center"/>
    </xf>
    <xf numFmtId="177" fontId="13" fillId="5" borderId="0" xfId="1" applyNumberFormat="1" applyFont="1" applyFill="1" applyAlignment="1">
      <alignment horizontal="center" vertical="center"/>
    </xf>
    <xf numFmtId="178" fontId="1" fillId="5" borderId="0" xfId="7" applyNumberFormat="1" applyFont="1" applyFill="1" applyBorder="1">
      <alignment vertical="center"/>
    </xf>
    <xf numFmtId="178" fontId="11" fillId="5" borderId="0" xfId="7" applyNumberFormat="1" applyFont="1" applyFill="1" applyBorder="1">
      <alignment vertical="center"/>
    </xf>
    <xf numFmtId="178" fontId="11" fillId="5" borderId="9" xfId="7" applyNumberFormat="1" applyFont="1" applyFill="1" applyBorder="1">
      <alignment vertical="center"/>
    </xf>
    <xf numFmtId="177" fontId="11" fillId="5" borderId="6" xfId="5" applyNumberFormat="1" applyFont="1" applyFill="1" applyBorder="1" applyAlignment="1">
      <alignment horizontal="center" vertical="center"/>
    </xf>
    <xf numFmtId="9" fontId="13" fillId="5" borderId="6" xfId="6" applyFont="1" applyFill="1" applyBorder="1" applyAlignment="1">
      <alignment horizontal="center" vertical="center"/>
    </xf>
    <xf numFmtId="9" fontId="13" fillId="5" borderId="0" xfId="6" applyFont="1" applyFill="1" applyBorder="1" applyAlignment="1">
      <alignment horizontal="center" vertical="center"/>
    </xf>
    <xf numFmtId="177" fontId="13" fillId="5" borderId="6" xfId="1" applyNumberFormat="1" applyFont="1" applyFill="1" applyBorder="1" applyAlignment="1">
      <alignment horizontal="center" vertical="center"/>
    </xf>
    <xf numFmtId="178" fontId="1" fillId="5" borderId="6" xfId="7" applyNumberFormat="1" applyFont="1" applyFill="1" applyBorder="1">
      <alignment vertical="center"/>
    </xf>
    <xf numFmtId="178" fontId="1" fillId="5" borderId="8" xfId="7" applyNumberFormat="1" applyFont="1" applyFill="1" applyBorder="1">
      <alignment vertical="center"/>
    </xf>
    <xf numFmtId="178" fontId="1" fillId="5" borderId="9" xfId="7" applyNumberFormat="1" applyFont="1" applyFill="1" applyBorder="1">
      <alignment vertical="center"/>
    </xf>
    <xf numFmtId="177" fontId="13" fillId="5" borderId="6" xfId="3" applyNumberFormat="1" applyFont="1" applyFill="1" applyBorder="1" applyAlignment="1">
      <alignment horizontal="center" vertical="center"/>
    </xf>
    <xf numFmtId="177" fontId="6" fillId="6" borderId="6" xfId="3" applyNumberFormat="1" applyFill="1" applyBorder="1" applyAlignment="1">
      <alignment horizontal="center" vertical="center"/>
    </xf>
    <xf numFmtId="177" fontId="6" fillId="6" borderId="0" xfId="3" applyNumberFormat="1" applyFill="1" applyBorder="1" applyAlignment="1">
      <alignment horizontal="center" vertical="center"/>
    </xf>
    <xf numFmtId="177" fontId="16" fillId="6" borderId="0" xfId="3" applyNumberFormat="1" applyFont="1" applyFill="1" applyBorder="1" applyAlignment="1">
      <alignment horizontal="center" vertical="center"/>
    </xf>
    <xf numFmtId="10" fontId="6" fillId="6" borderId="0" xfId="3" applyNumberFormat="1" applyFill="1" applyBorder="1" applyAlignment="1">
      <alignment horizontal="center" vertical="center"/>
    </xf>
    <xf numFmtId="177" fontId="17" fillId="6" borderId="0" xfId="3" applyNumberFormat="1" applyFont="1" applyFill="1" applyBorder="1" applyAlignment="1">
      <alignment horizontal="center" vertical="center"/>
    </xf>
    <xf numFmtId="177" fontId="16" fillId="6" borderId="6" xfId="3" applyNumberFormat="1" applyFont="1" applyFill="1" applyBorder="1" applyAlignment="1">
      <alignment horizontal="center" vertical="center"/>
    </xf>
    <xf numFmtId="10" fontId="6" fillId="6" borderId="6" xfId="3" applyNumberFormat="1" applyFill="1" applyBorder="1" applyAlignment="1">
      <alignment horizontal="center" vertical="center"/>
    </xf>
    <xf numFmtId="177" fontId="17" fillId="6" borderId="6" xfId="3" applyNumberFormat="1" applyFont="1" applyFill="1" applyBorder="1" applyAlignment="1">
      <alignment horizontal="center" vertical="center"/>
    </xf>
    <xf numFmtId="176" fontId="6" fillId="6" borderId="5" xfId="3" applyNumberFormat="1" applyFill="1" applyBorder="1" applyAlignment="1">
      <alignment vertical="center"/>
    </xf>
    <xf numFmtId="176" fontId="6" fillId="6" borderId="7" xfId="3" applyNumberFormat="1" applyFill="1" applyBorder="1" applyAlignment="1">
      <alignment vertical="center"/>
    </xf>
    <xf numFmtId="176" fontId="6" fillId="6" borderId="10" xfId="3" applyNumberFormat="1" applyFill="1" applyBorder="1" applyAlignment="1">
      <alignment vertical="center"/>
    </xf>
    <xf numFmtId="177" fontId="6" fillId="6" borderId="5" xfId="3" applyNumberFormat="1" applyFill="1" applyBorder="1" applyAlignment="1">
      <alignment vertical="center"/>
    </xf>
    <xf numFmtId="177" fontId="6" fillId="6" borderId="7" xfId="3" applyNumberFormat="1" applyFill="1" applyBorder="1" applyAlignment="1">
      <alignment vertical="center"/>
    </xf>
    <xf numFmtId="177" fontId="6" fillId="5" borderId="7" xfId="3" applyNumberFormat="1" applyFill="1" applyBorder="1" applyAlignment="1">
      <alignment vertical="center"/>
    </xf>
    <xf numFmtId="177" fontId="6" fillId="6" borderId="10" xfId="3" applyNumberFormat="1" applyFill="1" applyBorder="1" applyAlignment="1">
      <alignment vertical="center"/>
    </xf>
    <xf numFmtId="38" fontId="6" fillId="6" borderId="5" xfId="3" applyNumberFormat="1" applyFill="1" applyBorder="1" applyAlignment="1">
      <alignment vertical="center"/>
    </xf>
    <xf numFmtId="38" fontId="6" fillId="6" borderId="7" xfId="3" applyNumberFormat="1" applyFill="1" applyBorder="1" applyAlignment="1">
      <alignment vertical="center"/>
    </xf>
    <xf numFmtId="38" fontId="6" fillId="5" borderId="7" xfId="3" applyNumberFormat="1" applyFill="1" applyBorder="1" applyAlignment="1">
      <alignment vertical="center"/>
    </xf>
    <xf numFmtId="0" fontId="6" fillId="5" borderId="10" xfId="3" applyFill="1" applyBorder="1" applyAlignment="1">
      <alignment vertical="center"/>
    </xf>
    <xf numFmtId="0" fontId="22" fillId="0" borderId="3" xfId="2" applyFont="1" applyFill="1" applyBorder="1" applyAlignment="1">
      <alignment vertical="center"/>
    </xf>
    <xf numFmtId="0" fontId="11" fillId="0" borderId="6" xfId="2" applyFont="1" applyFill="1" applyBorder="1" applyAlignment="1">
      <alignment vertical="center"/>
    </xf>
    <xf numFmtId="0" fontId="11" fillId="0" borderId="8" xfId="2" applyFont="1" applyFill="1" applyBorder="1" applyAlignment="1">
      <alignment vertical="center"/>
    </xf>
    <xf numFmtId="177" fontId="17" fillId="5" borderId="6" xfId="5" applyNumberFormat="1" applyFont="1" applyFill="1" applyBorder="1" applyAlignment="1">
      <alignment horizontal="center" vertical="center" wrapText="1"/>
    </xf>
    <xf numFmtId="177" fontId="17" fillId="5" borderId="0" xfId="5" applyNumberFormat="1" applyFont="1" applyFill="1" applyBorder="1" applyAlignment="1">
      <alignment horizontal="center" vertical="center" wrapText="1"/>
    </xf>
    <xf numFmtId="177" fontId="17" fillId="5" borderId="7" xfId="5" applyNumberFormat="1" applyFont="1" applyFill="1" applyBorder="1" applyAlignment="1">
      <alignment horizontal="center" vertical="center" wrapText="1"/>
    </xf>
    <xf numFmtId="179" fontId="6" fillId="6" borderId="5" xfId="3" applyNumberFormat="1" applyFill="1" applyBorder="1" applyAlignment="1">
      <alignment vertical="center"/>
    </xf>
    <xf numFmtId="179" fontId="6" fillId="6" borderId="7" xfId="3" applyNumberFormat="1" applyFill="1" applyBorder="1" applyAlignment="1">
      <alignment vertical="center"/>
    </xf>
    <xf numFmtId="177" fontId="11" fillId="6" borderId="6" xfId="3" applyNumberFormat="1" applyFont="1" applyFill="1" applyBorder="1" applyAlignment="1">
      <alignment horizontal="center" vertical="center"/>
    </xf>
    <xf numFmtId="177" fontId="23" fillId="5" borderId="0" xfId="1" applyNumberFormat="1" applyFont="1" applyFill="1" applyAlignment="1">
      <alignment horizontal="center" vertical="center"/>
    </xf>
    <xf numFmtId="177" fontId="11" fillId="5" borderId="6" xfId="5" applyNumberFormat="1" applyFont="1" applyFill="1" applyBorder="1" applyAlignment="1">
      <alignment horizontal="center" vertical="center" wrapText="1"/>
    </xf>
    <xf numFmtId="177" fontId="1" fillId="6" borderId="6" xfId="3" applyNumberFormat="1" applyFont="1" applyFill="1" applyBorder="1" applyAlignment="1">
      <alignment horizontal="center" vertical="center"/>
    </xf>
    <xf numFmtId="38" fontId="1" fillId="6" borderId="5" xfId="3" applyNumberFormat="1" applyFont="1" applyFill="1" applyBorder="1" applyAlignment="1">
      <alignment vertical="center"/>
    </xf>
    <xf numFmtId="38" fontId="1" fillId="6" borderId="7" xfId="3" applyNumberFormat="1" applyFont="1" applyFill="1" applyBorder="1" applyAlignment="1">
      <alignment vertical="center"/>
    </xf>
    <xf numFmtId="179" fontId="1" fillId="6" borderId="10" xfId="3" applyNumberFormat="1" applyFont="1" applyFill="1" applyBorder="1" applyAlignment="1">
      <alignment vertical="center"/>
    </xf>
    <xf numFmtId="177" fontId="23" fillId="5" borderId="11" xfId="1" applyNumberFormat="1" applyFont="1" applyFill="1" applyBorder="1" applyAlignment="1">
      <alignment horizontal="center" vertical="center"/>
    </xf>
    <xf numFmtId="0" fontId="24" fillId="0" borderId="0" xfId="1" applyFont="1">
      <alignment vertical="center"/>
    </xf>
    <xf numFmtId="26" fontId="6" fillId="6" borderId="5" xfId="3" applyNumberFormat="1" applyFill="1" applyBorder="1" applyAlignment="1">
      <alignment vertical="center"/>
    </xf>
    <xf numFmtId="26" fontId="6" fillId="6" borderId="7" xfId="3" applyNumberFormat="1" applyFill="1" applyBorder="1" applyAlignment="1">
      <alignment vertical="center"/>
    </xf>
    <xf numFmtId="26" fontId="6" fillId="6" borderId="10" xfId="3" applyNumberFormat="1" applyFill="1" applyBorder="1" applyAlignment="1">
      <alignment vertical="center"/>
    </xf>
    <xf numFmtId="0" fontId="11" fillId="0" borderId="12" xfId="1" applyFont="1" applyBorder="1" applyAlignment="1">
      <alignment horizontal="right" vertical="center"/>
    </xf>
    <xf numFmtId="178" fontId="11" fillId="0" borderId="12" xfId="7" applyNumberFormat="1" applyFont="1" applyBorder="1">
      <alignment vertical="center"/>
    </xf>
    <xf numFmtId="0" fontId="13" fillId="0" borderId="12" xfId="1" applyFont="1" applyBorder="1" applyAlignment="1">
      <alignment horizontal="right" vertical="center"/>
    </xf>
    <xf numFmtId="178" fontId="13" fillId="0" borderId="12" xfId="7" applyNumberFormat="1" applyFont="1" applyBorder="1">
      <alignment vertical="center"/>
    </xf>
    <xf numFmtId="0" fontId="12" fillId="0" borderId="12" xfId="1" applyFont="1" applyBorder="1" applyAlignment="1">
      <alignment horizontal="right" vertical="center"/>
    </xf>
    <xf numFmtId="178" fontId="12" fillId="0" borderId="12" xfId="7" applyNumberFormat="1" applyFont="1" applyBorder="1" applyAlignment="1">
      <alignment horizontal="right" vertical="center"/>
    </xf>
    <xf numFmtId="0" fontId="1" fillId="0" borderId="12" xfId="1" applyBorder="1" applyAlignment="1">
      <alignment horizontal="right" vertical="center"/>
    </xf>
    <xf numFmtId="176" fontId="1" fillId="0" borderId="12" xfId="1" applyNumberFormat="1" applyBorder="1">
      <alignment vertical="center"/>
    </xf>
    <xf numFmtId="180" fontId="11" fillId="0" borderId="12" xfId="1" applyNumberFormat="1" applyFont="1" applyBorder="1">
      <alignment vertical="center"/>
    </xf>
    <xf numFmtId="5" fontId="2" fillId="0" borderId="0" xfId="1" applyNumberFormat="1" applyFont="1">
      <alignment vertical="center"/>
    </xf>
    <xf numFmtId="41" fontId="6" fillId="6" borderId="7" xfId="8" applyNumberFormat="1" applyFont="1" applyFill="1" applyBorder="1" applyAlignment="1">
      <alignment vertical="center"/>
    </xf>
    <xf numFmtId="0" fontId="11" fillId="8" borderId="3" xfId="1" applyFont="1" applyFill="1" applyBorder="1" applyAlignment="1">
      <alignment horizontal="center" vertical="center"/>
    </xf>
    <xf numFmtId="0" fontId="11" fillId="8" borderId="4" xfId="1" applyFont="1" applyFill="1" applyBorder="1" applyAlignment="1">
      <alignment horizontal="center" vertical="center"/>
    </xf>
    <xf numFmtId="0" fontId="11" fillId="8" borderId="5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</cellXfs>
  <cellStyles count="9">
    <cellStyle name="百分比 2" xfId="6" xr:uid="{00000000-0005-0000-0000-000001000000}"/>
    <cellStyle name="常规" xfId="0" builtinId="0"/>
    <cellStyle name="常规 2" xfId="1" xr:uid="{00000000-0005-0000-0000-000003000000}"/>
    <cellStyle name="计算 2" xfId="5" xr:uid="{00000000-0005-0000-0000-000004000000}"/>
    <cellStyle name="检查单元格 2" xfId="2" xr:uid="{00000000-0005-0000-0000-000005000000}"/>
    <cellStyle name="解释性文本 2" xfId="4" xr:uid="{00000000-0005-0000-0000-000006000000}"/>
    <cellStyle name="千位分隔" xfId="8" builtinId="3"/>
    <cellStyle name="千位分隔 2" xfId="7" xr:uid="{00000000-0005-0000-0000-000008000000}"/>
    <cellStyle name="输入 2" xfId="3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53"/>
  <sheetViews>
    <sheetView showGridLines="0" tabSelected="1" topLeftCell="A10" zoomScale="70" zoomScaleNormal="70" workbookViewId="0">
      <selection activeCell="D45" sqref="D45"/>
    </sheetView>
  </sheetViews>
  <sheetFormatPr defaultColWidth="10.875" defaultRowHeight="15.75" x14ac:dyDescent="0.2"/>
  <cols>
    <col min="1" max="1" width="23.625" style="3" bestFit="1" customWidth="1"/>
    <col min="2" max="2" width="19.875" style="3" customWidth="1"/>
    <col min="3" max="3" width="16.75" style="3" customWidth="1"/>
    <col min="4" max="4" width="13" style="3" customWidth="1"/>
    <col min="5" max="5" width="16.375" style="3" customWidth="1"/>
    <col min="6" max="6" width="12.5" style="3" customWidth="1"/>
    <col min="7" max="7" width="14.375" style="3" bestFit="1" customWidth="1"/>
    <col min="8" max="8" width="14.875" style="3" customWidth="1"/>
    <col min="9" max="9" width="13.625" style="3" bestFit="1" customWidth="1"/>
    <col min="10" max="10" width="14.5" style="3" customWidth="1"/>
    <col min="11" max="11" width="21" style="3" customWidth="1"/>
    <col min="12" max="12" width="15.5" style="3" customWidth="1"/>
    <col min="13" max="13" width="12.5" style="3" bestFit="1" customWidth="1"/>
    <col min="14" max="14" width="17.875" style="3" customWidth="1"/>
    <col min="15" max="15" width="13.625" style="3" bestFit="1" customWidth="1"/>
    <col min="16" max="16" width="10.875" style="3"/>
    <col min="17" max="17" width="18.5" style="3" customWidth="1"/>
    <col min="18" max="18" width="15" style="3" customWidth="1"/>
    <col min="19" max="19" width="12.5" style="3" bestFit="1" customWidth="1"/>
    <col min="20" max="20" width="13" style="3" bestFit="1" customWidth="1"/>
    <col min="21" max="21" width="13.375" style="3" bestFit="1" customWidth="1"/>
    <col min="22" max="25" width="12.5" style="3" bestFit="1" customWidth="1"/>
    <col min="26" max="16384" width="10.875" style="3"/>
  </cols>
  <sheetData>
    <row r="1" spans="1:43" s="1" customFormat="1" x14ac:dyDescent="0.2"/>
    <row r="2" spans="1:43" s="1" customFormat="1" ht="27.75" x14ac:dyDescent="0.2">
      <c r="A2" s="14" t="s">
        <v>19</v>
      </c>
    </row>
    <row r="3" spans="1:43" s="1" customFormat="1" ht="27.75" x14ac:dyDescent="0.2">
      <c r="A3" s="13" t="s">
        <v>89</v>
      </c>
    </row>
    <row r="4" spans="1:43" s="1" customFormat="1" x14ac:dyDescent="0.2"/>
    <row r="5" spans="1:43" s="1" customFormat="1" ht="16.5" thickBot="1" x14ac:dyDescent="0.25">
      <c r="H5" s="19" t="s">
        <v>85</v>
      </c>
      <c r="I5" s="3"/>
      <c r="K5" s="20" t="s">
        <v>86</v>
      </c>
      <c r="L5" s="3"/>
      <c r="N5" s="20" t="s">
        <v>87</v>
      </c>
      <c r="O5" s="3"/>
    </row>
    <row r="6" spans="1:43" s="1" customFormat="1" ht="24" customHeight="1" x14ac:dyDescent="0.2">
      <c r="A6" s="12"/>
      <c r="B6" s="76" t="s">
        <v>0</v>
      </c>
      <c r="C6" s="82"/>
      <c r="E6" s="76" t="s">
        <v>51</v>
      </c>
      <c r="F6" s="68">
        <v>0</v>
      </c>
      <c r="G6" s="2"/>
      <c r="H6" s="76" t="s">
        <v>20</v>
      </c>
      <c r="I6" s="88">
        <v>25000</v>
      </c>
      <c r="K6" s="76" t="s">
        <v>20</v>
      </c>
      <c r="L6" s="72">
        <f>I6*2</f>
        <v>50000</v>
      </c>
      <c r="N6" s="76" t="s">
        <v>20</v>
      </c>
      <c r="O6" s="72">
        <v>25000</v>
      </c>
      <c r="Q6" s="76" t="s">
        <v>50</v>
      </c>
      <c r="R6" s="65">
        <v>662.79</v>
      </c>
    </row>
    <row r="7" spans="1:43" s="1" customFormat="1" ht="17.25" customHeight="1" x14ac:dyDescent="0.2">
      <c r="A7" s="12"/>
      <c r="B7" s="77" t="s">
        <v>1</v>
      </c>
      <c r="C7" s="83"/>
      <c r="E7" s="77" t="s">
        <v>52</v>
      </c>
      <c r="F7" s="69">
        <v>0</v>
      </c>
      <c r="G7" s="2"/>
      <c r="H7" s="77" t="s">
        <v>21</v>
      </c>
      <c r="I7" s="89">
        <v>40000</v>
      </c>
      <c r="K7" s="77" t="s">
        <v>21</v>
      </c>
      <c r="L7" s="73">
        <f>I7*2</f>
        <v>80000</v>
      </c>
      <c r="N7" s="77" t="s">
        <v>21</v>
      </c>
      <c r="O7" s="73">
        <v>25000</v>
      </c>
      <c r="Q7" s="77" t="s">
        <v>58</v>
      </c>
      <c r="R7" s="66">
        <v>30</v>
      </c>
      <c r="S7" s="24"/>
    </row>
    <row r="8" spans="1:43" s="1" customFormat="1" ht="17.25" customHeight="1" thickBot="1" x14ac:dyDescent="0.25">
      <c r="A8" s="12"/>
      <c r="B8" s="77" t="s">
        <v>30</v>
      </c>
      <c r="C8" s="83"/>
      <c r="E8" s="77" t="s">
        <v>53</v>
      </c>
      <c r="F8" s="69">
        <v>0</v>
      </c>
      <c r="G8" s="2"/>
      <c r="H8" s="77" t="s">
        <v>22</v>
      </c>
      <c r="I8" s="89">
        <v>45000</v>
      </c>
      <c r="K8" s="77" t="s">
        <v>22</v>
      </c>
      <c r="L8" s="73">
        <f>I8*2</f>
        <v>90000</v>
      </c>
      <c r="N8" s="77" t="s">
        <v>22</v>
      </c>
      <c r="O8" s="73">
        <v>25000</v>
      </c>
      <c r="Q8" s="78" t="s">
        <v>59</v>
      </c>
      <c r="R8" s="67">
        <v>36</v>
      </c>
      <c r="S8" s="25"/>
    </row>
    <row r="9" spans="1:43" s="1" customFormat="1" ht="16.5" thickBot="1" x14ac:dyDescent="0.25">
      <c r="A9" s="110"/>
      <c r="B9" s="77" t="s">
        <v>2</v>
      </c>
      <c r="C9" s="83"/>
      <c r="E9" s="77" t="s">
        <v>54</v>
      </c>
      <c r="F9" s="69">
        <v>0</v>
      </c>
      <c r="G9" s="2"/>
      <c r="H9" s="77" t="s">
        <v>43</v>
      </c>
      <c r="I9" s="106">
        <v>50000</v>
      </c>
      <c r="K9" s="77" t="s">
        <v>43</v>
      </c>
      <c r="L9" s="106">
        <f>I9*2</f>
        <v>100000</v>
      </c>
      <c r="N9" s="77" t="s">
        <v>43</v>
      </c>
      <c r="O9" s="106">
        <v>25000</v>
      </c>
      <c r="Q9" s="3" t="s">
        <v>70</v>
      </c>
      <c r="R9" s="92">
        <v>7.15</v>
      </c>
    </row>
    <row r="10" spans="1:43" s="1" customFormat="1" x14ac:dyDescent="0.2">
      <c r="A10" s="110"/>
      <c r="B10" s="77" t="s">
        <v>3</v>
      </c>
      <c r="C10" s="83"/>
      <c r="E10" s="77" t="s">
        <v>55</v>
      </c>
      <c r="F10" s="69">
        <v>0</v>
      </c>
      <c r="G10" s="2"/>
      <c r="H10" s="77"/>
      <c r="I10" s="74"/>
      <c r="K10" s="77"/>
      <c r="L10" s="74"/>
      <c r="N10" s="77"/>
      <c r="O10" s="74"/>
      <c r="Q10" s="76" t="s">
        <v>67</v>
      </c>
      <c r="R10" s="93">
        <v>199</v>
      </c>
    </row>
    <row r="11" spans="1:43" s="1" customFormat="1" ht="22.5" customHeight="1" x14ac:dyDescent="0.2">
      <c r="A11" s="15"/>
      <c r="B11" s="77" t="s">
        <v>26</v>
      </c>
      <c r="C11" s="83"/>
      <c r="E11" s="77" t="s">
        <v>56</v>
      </c>
      <c r="F11" s="70">
        <f>SUM(F6:F10)</f>
        <v>0</v>
      </c>
      <c r="G11" s="2"/>
      <c r="H11" s="77"/>
      <c r="I11" s="74"/>
      <c r="K11" s="77"/>
      <c r="L11" s="74"/>
      <c r="N11" s="77"/>
      <c r="O11" s="74"/>
      <c r="Q11" s="77" t="s">
        <v>68</v>
      </c>
      <c r="R11" s="94">
        <v>11</v>
      </c>
    </row>
    <row r="12" spans="1:43" s="1" customFormat="1" ht="16.5" thickBot="1" x14ac:dyDescent="0.25">
      <c r="B12" s="78" t="s">
        <v>4</v>
      </c>
      <c r="C12" s="90">
        <f>C13-C14</f>
        <v>120000</v>
      </c>
      <c r="E12" s="78" t="s">
        <v>57</v>
      </c>
      <c r="F12" s="71">
        <v>0</v>
      </c>
      <c r="G12" s="2"/>
      <c r="H12" s="78"/>
      <c r="I12" s="75"/>
      <c r="K12" s="78"/>
      <c r="L12" s="75"/>
      <c r="N12" s="78"/>
      <c r="O12" s="75"/>
      <c r="Q12" s="78" t="s">
        <v>69</v>
      </c>
      <c r="R12" s="95">
        <v>12</v>
      </c>
    </row>
    <row r="13" spans="1:43" s="1" customFormat="1" x14ac:dyDescent="0.2">
      <c r="B13" s="1" t="s">
        <v>83</v>
      </c>
      <c r="C13" s="105">
        <v>900000</v>
      </c>
    </row>
    <row r="14" spans="1:43" s="1" customFormat="1" x14ac:dyDescent="0.2">
      <c r="B14" s="1" t="s">
        <v>84</v>
      </c>
      <c r="C14" s="105">
        <v>780000</v>
      </c>
    </row>
    <row r="15" spans="1:43" ht="16.5" thickBot="1" x14ac:dyDescent="0.25">
      <c r="AQ15" s="1"/>
    </row>
    <row r="16" spans="1:43" x14ac:dyDescent="0.2">
      <c r="B16" s="107" t="s">
        <v>23</v>
      </c>
      <c r="C16" s="108"/>
      <c r="D16" s="108"/>
      <c r="E16" s="108"/>
      <c r="F16" s="108"/>
      <c r="G16" s="109"/>
      <c r="H16" s="108" t="s">
        <v>24</v>
      </c>
      <c r="I16" s="108"/>
      <c r="J16" s="108"/>
      <c r="K16" s="108"/>
      <c r="L16" s="108"/>
      <c r="M16" s="109"/>
      <c r="N16" s="107" t="s">
        <v>25</v>
      </c>
      <c r="O16" s="108"/>
      <c r="P16" s="108"/>
      <c r="Q16" s="108"/>
      <c r="R16" s="108"/>
      <c r="S16" s="109"/>
      <c r="T16" s="107" t="s">
        <v>88</v>
      </c>
      <c r="U16" s="108"/>
      <c r="V16" s="108"/>
      <c r="W16" s="108"/>
      <c r="X16" s="108"/>
      <c r="Y16" s="109"/>
    </row>
    <row r="17" spans="1:25" s="4" customFormat="1" ht="47.25" x14ac:dyDescent="0.2">
      <c r="B17" s="21" t="s">
        <v>38</v>
      </c>
      <c r="C17" s="22" t="s">
        <v>39</v>
      </c>
      <c r="D17" s="22" t="s">
        <v>80</v>
      </c>
      <c r="E17" s="22" t="s">
        <v>81</v>
      </c>
      <c r="F17" s="22" t="s">
        <v>82</v>
      </c>
      <c r="G17" s="23" t="s">
        <v>61</v>
      </c>
      <c r="H17" s="22" t="s">
        <v>38</v>
      </c>
      <c r="I17" s="22" t="s">
        <v>39</v>
      </c>
      <c r="J17" s="22" t="s">
        <v>80</v>
      </c>
      <c r="K17" s="22" t="s">
        <v>81</v>
      </c>
      <c r="L17" s="22" t="s">
        <v>82</v>
      </c>
      <c r="M17" s="23" t="s">
        <v>61</v>
      </c>
      <c r="N17" s="21" t="s">
        <v>38</v>
      </c>
      <c r="O17" s="22" t="s">
        <v>39</v>
      </c>
      <c r="P17" s="22" t="s">
        <v>63</v>
      </c>
      <c r="Q17" s="22" t="s">
        <v>64</v>
      </c>
      <c r="R17" s="22" t="s">
        <v>65</v>
      </c>
      <c r="S17" s="23" t="s">
        <v>66</v>
      </c>
      <c r="T17" s="21" t="s">
        <v>38</v>
      </c>
      <c r="U17" s="22" t="s">
        <v>39</v>
      </c>
      <c r="V17" s="22" t="s">
        <v>63</v>
      </c>
      <c r="W17" s="22" t="s">
        <v>64</v>
      </c>
      <c r="X17" s="22" t="s">
        <v>65</v>
      </c>
      <c r="Y17" s="23" t="s">
        <v>66</v>
      </c>
    </row>
    <row r="18" spans="1:25" s="5" customFormat="1" x14ac:dyDescent="0.2">
      <c r="A18" s="6" t="s">
        <v>40</v>
      </c>
      <c r="B18" s="87">
        <v>662.79</v>
      </c>
      <c r="C18" s="39">
        <f>B18/1.13</f>
        <v>586.53982300884957</v>
      </c>
      <c r="D18" s="58">
        <v>38</v>
      </c>
      <c r="E18" s="39">
        <f>D18/1.13</f>
        <v>33.628318584070797</v>
      </c>
      <c r="F18" s="58">
        <v>57.6</v>
      </c>
      <c r="G18" s="29">
        <f>F18/1.13</f>
        <v>50.973451327433636</v>
      </c>
      <c r="H18" s="58">
        <v>662.79</v>
      </c>
      <c r="I18" s="39">
        <f>H18/1.13</f>
        <v>586.53982300884957</v>
      </c>
      <c r="J18" s="58">
        <f>D18</f>
        <v>38</v>
      </c>
      <c r="K18" s="39">
        <f>J18/1.13</f>
        <v>33.628318584070797</v>
      </c>
      <c r="L18" s="58">
        <f>F18</f>
        <v>57.6</v>
      </c>
      <c r="M18" s="29">
        <f>L18/1.13</f>
        <v>50.973451327433636</v>
      </c>
      <c r="N18" s="57">
        <v>662.79</v>
      </c>
      <c r="O18" s="39">
        <f>N18/1.13</f>
        <v>586.53982300884957</v>
      </c>
      <c r="P18" s="58">
        <f>J18</f>
        <v>38</v>
      </c>
      <c r="Q18" s="39">
        <f>P18/1.13</f>
        <v>33.628318584070797</v>
      </c>
      <c r="R18" s="58">
        <f>L18</f>
        <v>57.6</v>
      </c>
      <c r="S18" s="29">
        <f>R18/1.13</f>
        <v>50.973451327433636</v>
      </c>
      <c r="T18" s="57">
        <v>662.79</v>
      </c>
      <c r="U18" s="39">
        <f>T18/1.13</f>
        <v>586.53982300884957</v>
      </c>
      <c r="V18" s="58">
        <f>P18</f>
        <v>38</v>
      </c>
      <c r="W18" s="39">
        <f>V18/1.13</f>
        <v>33.628318584070797</v>
      </c>
      <c r="X18" s="58">
        <f>R18</f>
        <v>57.6</v>
      </c>
      <c r="Y18" s="29">
        <f>X18/1.13</f>
        <v>50.973451327433636</v>
      </c>
    </row>
    <row r="19" spans="1:25" s="5" customFormat="1" ht="31.5" x14ac:dyDescent="0.2">
      <c r="A19" s="6" t="s">
        <v>31</v>
      </c>
      <c r="B19" s="26">
        <f>$F$11+$F$12</f>
        <v>0</v>
      </c>
      <c r="C19" s="27">
        <f>B19</f>
        <v>0</v>
      </c>
      <c r="D19" s="27">
        <v>0</v>
      </c>
      <c r="E19" s="27">
        <f>D19</f>
        <v>0</v>
      </c>
      <c r="F19" s="27">
        <v>0</v>
      </c>
      <c r="G19" s="28">
        <f>F19</f>
        <v>0</v>
      </c>
      <c r="H19" s="27">
        <f>$F$11+$F$12</f>
        <v>0</v>
      </c>
      <c r="I19" s="27">
        <f>H19</f>
        <v>0</v>
      </c>
      <c r="J19" s="27">
        <v>0</v>
      </c>
      <c r="K19" s="27">
        <f>J19</f>
        <v>0</v>
      </c>
      <c r="L19" s="27">
        <v>0</v>
      </c>
      <c r="M19" s="28">
        <f>L19</f>
        <v>0</v>
      </c>
      <c r="N19" s="26">
        <f>$F$11+$F$12</f>
        <v>0</v>
      </c>
      <c r="O19" s="27">
        <f>N19</f>
        <v>0</v>
      </c>
      <c r="P19" s="27">
        <v>0</v>
      </c>
      <c r="Q19" s="27">
        <f>P19</f>
        <v>0</v>
      </c>
      <c r="R19" s="27">
        <v>0</v>
      </c>
      <c r="S19" s="28">
        <f>R19</f>
        <v>0</v>
      </c>
      <c r="T19" s="26">
        <f>$F$11+$F$12</f>
        <v>0</v>
      </c>
      <c r="U19" s="27">
        <f>T19</f>
        <v>0</v>
      </c>
      <c r="V19" s="27">
        <v>0</v>
      </c>
      <c r="W19" s="27">
        <f>V19</f>
        <v>0</v>
      </c>
      <c r="X19" s="27">
        <v>0</v>
      </c>
      <c r="Y19" s="28">
        <f>X19</f>
        <v>0</v>
      </c>
    </row>
    <row r="20" spans="1:25" s="5" customFormat="1" x14ac:dyDescent="0.2">
      <c r="A20" s="6" t="s">
        <v>32</v>
      </c>
      <c r="B20" s="26">
        <f>($C$6+$C$7)/I6</f>
        <v>0</v>
      </c>
      <c r="C20" s="27">
        <f>B20/1.13</f>
        <v>0</v>
      </c>
      <c r="D20" s="27">
        <v>0</v>
      </c>
      <c r="E20" s="27">
        <f>D20/1.13</f>
        <v>0</v>
      </c>
      <c r="F20" s="27">
        <v>0</v>
      </c>
      <c r="G20" s="28">
        <f>F20/1.13</f>
        <v>0</v>
      </c>
      <c r="H20" s="27">
        <v>0</v>
      </c>
      <c r="I20" s="27">
        <f>H20/1.13</f>
        <v>0</v>
      </c>
      <c r="J20" s="27">
        <v>0</v>
      </c>
      <c r="K20" s="27">
        <f>J20/1.13</f>
        <v>0</v>
      </c>
      <c r="L20" s="27">
        <v>0</v>
      </c>
      <c r="M20" s="28">
        <f>L20/1.13</f>
        <v>0</v>
      </c>
      <c r="N20" s="26">
        <v>0</v>
      </c>
      <c r="O20" s="27">
        <f>N20/1.13</f>
        <v>0</v>
      </c>
      <c r="P20" s="27">
        <v>0</v>
      </c>
      <c r="Q20" s="27">
        <f>P20/1.13</f>
        <v>0</v>
      </c>
      <c r="R20" s="27">
        <v>0</v>
      </c>
      <c r="S20" s="28">
        <f>R20/1.13</f>
        <v>0</v>
      </c>
      <c r="T20" s="26">
        <v>0</v>
      </c>
      <c r="U20" s="27">
        <f>T20/1.13</f>
        <v>0</v>
      </c>
      <c r="V20" s="27">
        <v>0</v>
      </c>
      <c r="W20" s="27">
        <f>V20/1.13</f>
        <v>0</v>
      </c>
      <c r="X20" s="27">
        <v>0</v>
      </c>
      <c r="Y20" s="28">
        <f>X20/1.13</f>
        <v>0</v>
      </c>
    </row>
    <row r="21" spans="1:25" s="5" customFormat="1" x14ac:dyDescent="0.2">
      <c r="A21" s="6" t="s">
        <v>33</v>
      </c>
      <c r="B21" s="26">
        <f>($C$12-$C$6-$C$7)/$I$6</f>
        <v>4.8</v>
      </c>
      <c r="C21" s="27">
        <f>B21</f>
        <v>4.8</v>
      </c>
      <c r="D21" s="27">
        <v>0</v>
      </c>
      <c r="E21" s="27">
        <f>D21</f>
        <v>0</v>
      </c>
      <c r="F21" s="27">
        <v>0</v>
      </c>
      <c r="G21" s="28">
        <f>F21</f>
        <v>0</v>
      </c>
      <c r="H21" s="27">
        <v>0</v>
      </c>
      <c r="I21" s="27">
        <f>H21</f>
        <v>0</v>
      </c>
      <c r="J21" s="27">
        <v>0</v>
      </c>
      <c r="K21" s="27">
        <f>J21</f>
        <v>0</v>
      </c>
      <c r="L21" s="27">
        <v>0</v>
      </c>
      <c r="M21" s="28">
        <f>L21</f>
        <v>0</v>
      </c>
      <c r="N21" s="26">
        <v>0</v>
      </c>
      <c r="O21" s="27">
        <f>N21</f>
        <v>0</v>
      </c>
      <c r="P21" s="27">
        <v>0</v>
      </c>
      <c r="Q21" s="27">
        <f>P21</f>
        <v>0</v>
      </c>
      <c r="R21" s="27">
        <v>0</v>
      </c>
      <c r="S21" s="28">
        <f>R21</f>
        <v>0</v>
      </c>
      <c r="T21" s="26">
        <v>0</v>
      </c>
      <c r="U21" s="27">
        <f>T21</f>
        <v>0</v>
      </c>
      <c r="V21" s="27">
        <v>0</v>
      </c>
      <c r="W21" s="27">
        <f>V21</f>
        <v>0</v>
      </c>
      <c r="X21" s="27">
        <v>0</v>
      </c>
      <c r="Y21" s="28">
        <f>X21</f>
        <v>0</v>
      </c>
    </row>
    <row r="22" spans="1:25" x14ac:dyDescent="0.2">
      <c r="A22" s="18" t="s">
        <v>34</v>
      </c>
      <c r="B22" s="57">
        <v>0</v>
      </c>
      <c r="C22" s="39">
        <f>B22/1.09</f>
        <v>0</v>
      </c>
      <c r="D22" s="58">
        <v>0</v>
      </c>
      <c r="E22" s="39">
        <f>D22/1.09</f>
        <v>0</v>
      </c>
      <c r="F22" s="58">
        <v>0</v>
      </c>
      <c r="G22" s="29">
        <f>F22/1.09</f>
        <v>0</v>
      </c>
      <c r="H22" s="57">
        <v>0</v>
      </c>
      <c r="I22" s="39">
        <f>H22/1.09</f>
        <v>0</v>
      </c>
      <c r="J22" s="58">
        <v>0</v>
      </c>
      <c r="K22" s="39">
        <f>J22/1.09</f>
        <v>0</v>
      </c>
      <c r="L22" s="58">
        <v>0</v>
      </c>
      <c r="M22" s="29">
        <f>L22/1.09</f>
        <v>0</v>
      </c>
      <c r="N22" s="57">
        <v>0</v>
      </c>
      <c r="O22" s="39">
        <f>N22/1.09</f>
        <v>0</v>
      </c>
      <c r="P22" s="58">
        <v>0</v>
      </c>
      <c r="Q22" s="39">
        <f>P22/1.09</f>
        <v>0</v>
      </c>
      <c r="R22" s="58">
        <v>0</v>
      </c>
      <c r="S22" s="29">
        <f>R22/1.09</f>
        <v>0</v>
      </c>
      <c r="T22" s="57">
        <v>0</v>
      </c>
      <c r="U22" s="39">
        <f>T22/1.09</f>
        <v>0</v>
      </c>
      <c r="V22" s="58">
        <v>0</v>
      </c>
      <c r="W22" s="39">
        <f>V22/1.09</f>
        <v>0</v>
      </c>
      <c r="X22" s="58">
        <v>0</v>
      </c>
      <c r="Y22" s="29">
        <f>X22/1.09</f>
        <v>0</v>
      </c>
    </row>
    <row r="23" spans="1:25" x14ac:dyDescent="0.2">
      <c r="A23" s="18" t="s">
        <v>35</v>
      </c>
      <c r="B23" s="62">
        <v>0</v>
      </c>
      <c r="C23" s="39">
        <f>B23/1.09</f>
        <v>0</v>
      </c>
      <c r="D23" s="59">
        <v>0</v>
      </c>
      <c r="E23" s="39">
        <f>D23/1.09</f>
        <v>0</v>
      </c>
      <c r="F23" s="59">
        <v>0</v>
      </c>
      <c r="G23" s="29">
        <f>F23/1.09</f>
        <v>0</v>
      </c>
      <c r="H23" s="59">
        <v>0</v>
      </c>
      <c r="I23" s="39">
        <f>H23/1.09</f>
        <v>0</v>
      </c>
      <c r="J23" s="59">
        <v>0</v>
      </c>
      <c r="K23" s="39">
        <f>J23/1.09</f>
        <v>0</v>
      </c>
      <c r="L23" s="59">
        <v>0</v>
      </c>
      <c r="M23" s="29">
        <f>L23/1.09</f>
        <v>0</v>
      </c>
      <c r="N23" s="62">
        <v>0</v>
      </c>
      <c r="O23" s="39">
        <f>N23/1.09</f>
        <v>0</v>
      </c>
      <c r="P23" s="59">
        <v>0</v>
      </c>
      <c r="Q23" s="39">
        <f>P23/1.09</f>
        <v>0</v>
      </c>
      <c r="R23" s="59">
        <v>0</v>
      </c>
      <c r="S23" s="29">
        <f>R23/1.09</f>
        <v>0</v>
      </c>
      <c r="T23" s="62">
        <v>0</v>
      </c>
      <c r="U23" s="39">
        <f>T23/1.09</f>
        <v>0</v>
      </c>
      <c r="V23" s="59">
        <v>0</v>
      </c>
      <c r="W23" s="39">
        <f>V23/1.09</f>
        <v>0</v>
      </c>
      <c r="X23" s="59">
        <v>0</v>
      </c>
      <c r="Y23" s="29">
        <f>X23/1.09</f>
        <v>0</v>
      </c>
    </row>
    <row r="24" spans="1:25" x14ac:dyDescent="0.2">
      <c r="A24" s="6" t="s">
        <v>6</v>
      </c>
      <c r="B24" s="26">
        <f t="shared" ref="B24:S24" si="0">B23+B22</f>
        <v>0</v>
      </c>
      <c r="C24" s="27">
        <f t="shared" si="0"/>
        <v>0</v>
      </c>
      <c r="D24" s="27">
        <f t="shared" si="0"/>
        <v>0</v>
      </c>
      <c r="E24" s="27">
        <f t="shared" si="0"/>
        <v>0</v>
      </c>
      <c r="F24" s="27">
        <f t="shared" si="0"/>
        <v>0</v>
      </c>
      <c r="G24" s="28">
        <f t="shared" si="0"/>
        <v>0</v>
      </c>
      <c r="H24" s="27">
        <f t="shared" si="0"/>
        <v>0</v>
      </c>
      <c r="I24" s="27">
        <f t="shared" si="0"/>
        <v>0</v>
      </c>
      <c r="J24" s="27">
        <f t="shared" si="0"/>
        <v>0</v>
      </c>
      <c r="K24" s="27">
        <f t="shared" si="0"/>
        <v>0</v>
      </c>
      <c r="L24" s="27">
        <f t="shared" si="0"/>
        <v>0</v>
      </c>
      <c r="M24" s="28">
        <f t="shared" si="0"/>
        <v>0</v>
      </c>
      <c r="N24" s="26">
        <f t="shared" si="0"/>
        <v>0</v>
      </c>
      <c r="O24" s="27">
        <f t="shared" si="0"/>
        <v>0</v>
      </c>
      <c r="P24" s="27">
        <f t="shared" si="0"/>
        <v>0</v>
      </c>
      <c r="Q24" s="27">
        <f t="shared" si="0"/>
        <v>0</v>
      </c>
      <c r="R24" s="27">
        <f t="shared" si="0"/>
        <v>0</v>
      </c>
      <c r="S24" s="28">
        <f t="shared" si="0"/>
        <v>0</v>
      </c>
      <c r="T24" s="26">
        <f t="shared" ref="T24:Y24" si="1">T23+T22</f>
        <v>0</v>
      </c>
      <c r="U24" s="27">
        <f t="shared" si="1"/>
        <v>0</v>
      </c>
      <c r="V24" s="27">
        <f t="shared" si="1"/>
        <v>0</v>
      </c>
      <c r="W24" s="27">
        <f t="shared" si="1"/>
        <v>0</v>
      </c>
      <c r="X24" s="27">
        <f t="shared" si="1"/>
        <v>0</v>
      </c>
      <c r="Y24" s="28">
        <f t="shared" si="1"/>
        <v>0</v>
      </c>
    </row>
    <row r="25" spans="1:25" s="5" customFormat="1" x14ac:dyDescent="0.2">
      <c r="A25" s="17" t="s">
        <v>27</v>
      </c>
      <c r="B25" s="63">
        <v>0.05</v>
      </c>
      <c r="C25" s="40">
        <f>B25</f>
        <v>0.05</v>
      </c>
      <c r="D25" s="60">
        <v>0.05</v>
      </c>
      <c r="E25" s="40">
        <f>D25</f>
        <v>0.05</v>
      </c>
      <c r="F25" s="60">
        <v>0.05</v>
      </c>
      <c r="G25" s="30">
        <f>F25</f>
        <v>0.05</v>
      </c>
      <c r="H25" s="60">
        <v>0.05</v>
      </c>
      <c r="I25" s="40">
        <f>H25</f>
        <v>0.05</v>
      </c>
      <c r="J25" s="60">
        <v>0.05</v>
      </c>
      <c r="K25" s="40">
        <f>J25</f>
        <v>0.05</v>
      </c>
      <c r="L25" s="60">
        <v>0.05</v>
      </c>
      <c r="M25" s="30">
        <f>L25</f>
        <v>0.05</v>
      </c>
      <c r="N25" s="63">
        <v>0.05</v>
      </c>
      <c r="O25" s="40">
        <f>N25</f>
        <v>0.05</v>
      </c>
      <c r="P25" s="60">
        <v>0.05</v>
      </c>
      <c r="Q25" s="40">
        <f>P25</f>
        <v>0.05</v>
      </c>
      <c r="R25" s="60">
        <v>0.05</v>
      </c>
      <c r="S25" s="30">
        <f>R25</f>
        <v>0.05</v>
      </c>
      <c r="T25" s="63">
        <v>0.05</v>
      </c>
      <c r="U25" s="40">
        <f>T25</f>
        <v>0.05</v>
      </c>
      <c r="V25" s="60">
        <v>0.05</v>
      </c>
      <c r="W25" s="40">
        <f>V25</f>
        <v>0.05</v>
      </c>
      <c r="X25" s="60">
        <v>0.05</v>
      </c>
      <c r="Y25" s="30">
        <f>X25</f>
        <v>0.05</v>
      </c>
    </row>
    <row r="26" spans="1:25" x14ac:dyDescent="0.2">
      <c r="A26" s="6" t="s">
        <v>5</v>
      </c>
      <c r="B26" s="56">
        <f>B25*B18</f>
        <v>33.139499999999998</v>
      </c>
      <c r="C26" s="41">
        <f>B26</f>
        <v>33.139499999999998</v>
      </c>
      <c r="D26" s="41">
        <f>D25*D18</f>
        <v>1.9000000000000001</v>
      </c>
      <c r="E26" s="41">
        <f>D26</f>
        <v>1.9000000000000001</v>
      </c>
      <c r="F26" s="41">
        <f>F25*F18</f>
        <v>2.8800000000000003</v>
      </c>
      <c r="G26" s="31">
        <f>F26</f>
        <v>2.8800000000000003</v>
      </c>
      <c r="H26" s="41">
        <f>H25*H18</f>
        <v>33.139499999999998</v>
      </c>
      <c r="I26" s="41">
        <f>H26</f>
        <v>33.139499999999998</v>
      </c>
      <c r="J26" s="41">
        <f>J25*J18</f>
        <v>1.9000000000000001</v>
      </c>
      <c r="K26" s="41">
        <f>J26</f>
        <v>1.9000000000000001</v>
      </c>
      <c r="L26" s="41">
        <f>L25*L18</f>
        <v>2.8800000000000003</v>
      </c>
      <c r="M26" s="31">
        <f>L26</f>
        <v>2.8800000000000003</v>
      </c>
      <c r="N26" s="56">
        <f>N25*N18</f>
        <v>33.139499999999998</v>
      </c>
      <c r="O26" s="41">
        <f>N26</f>
        <v>33.139499999999998</v>
      </c>
      <c r="P26" s="41">
        <f>P25*P18</f>
        <v>1.9000000000000001</v>
      </c>
      <c r="Q26" s="41">
        <f>P26</f>
        <v>1.9000000000000001</v>
      </c>
      <c r="R26" s="41">
        <f>R25*R18</f>
        <v>2.8800000000000003</v>
      </c>
      <c r="S26" s="31">
        <f>R26</f>
        <v>2.8800000000000003</v>
      </c>
      <c r="T26" s="56">
        <f>T25*T18</f>
        <v>33.139499999999998</v>
      </c>
      <c r="U26" s="41">
        <f>T26</f>
        <v>33.139499999999998</v>
      </c>
      <c r="V26" s="41">
        <f>V25*V18</f>
        <v>1.9000000000000001</v>
      </c>
      <c r="W26" s="41">
        <f>V26</f>
        <v>1.9000000000000001</v>
      </c>
      <c r="X26" s="41">
        <f>X25*X18</f>
        <v>2.8800000000000003</v>
      </c>
      <c r="Y26" s="31">
        <f>X26</f>
        <v>2.8800000000000003</v>
      </c>
    </row>
    <row r="27" spans="1:25" x14ac:dyDescent="0.2">
      <c r="A27" s="18" t="s">
        <v>7</v>
      </c>
      <c r="B27" s="63">
        <v>7.0000000000000007E-2</v>
      </c>
      <c r="C27" s="40">
        <f>B27</f>
        <v>7.0000000000000007E-2</v>
      </c>
      <c r="D27" s="60">
        <v>3.5000000000000003E-2</v>
      </c>
      <c r="E27" s="40">
        <f>D27</f>
        <v>3.5000000000000003E-2</v>
      </c>
      <c r="F27" s="60">
        <v>3.5000000000000003E-2</v>
      </c>
      <c r="G27" s="30">
        <f>F27</f>
        <v>3.5000000000000003E-2</v>
      </c>
      <c r="H27" s="60">
        <v>7.0000000000000007E-2</v>
      </c>
      <c r="I27" s="40">
        <f>H27</f>
        <v>7.0000000000000007E-2</v>
      </c>
      <c r="J27" s="60">
        <v>3.5000000000000003E-2</v>
      </c>
      <c r="K27" s="40">
        <f>J27</f>
        <v>3.5000000000000003E-2</v>
      </c>
      <c r="L27" s="60">
        <v>3.5000000000000003E-2</v>
      </c>
      <c r="M27" s="30">
        <f>L27</f>
        <v>3.5000000000000003E-2</v>
      </c>
      <c r="N27" s="63">
        <v>7.0000000000000007E-2</v>
      </c>
      <c r="O27" s="40">
        <f>N27</f>
        <v>7.0000000000000007E-2</v>
      </c>
      <c r="P27" s="60">
        <v>3.5000000000000003E-2</v>
      </c>
      <c r="Q27" s="40">
        <f>P27</f>
        <v>3.5000000000000003E-2</v>
      </c>
      <c r="R27" s="60">
        <v>3.5000000000000003E-2</v>
      </c>
      <c r="S27" s="30">
        <f>R27</f>
        <v>3.5000000000000003E-2</v>
      </c>
      <c r="T27" s="63">
        <v>7.0000000000000007E-2</v>
      </c>
      <c r="U27" s="40">
        <f>T27</f>
        <v>7.0000000000000007E-2</v>
      </c>
      <c r="V27" s="60">
        <v>3.5000000000000003E-2</v>
      </c>
      <c r="W27" s="40">
        <f>V27</f>
        <v>3.5000000000000003E-2</v>
      </c>
      <c r="X27" s="60">
        <v>3.5000000000000003E-2</v>
      </c>
      <c r="Y27" s="30">
        <f>X27</f>
        <v>3.5000000000000003E-2</v>
      </c>
    </row>
    <row r="28" spans="1:25" x14ac:dyDescent="0.2">
      <c r="A28" s="18" t="s">
        <v>8</v>
      </c>
      <c r="B28" s="26">
        <f>$B$27*$R$6</f>
        <v>46.395299999999999</v>
      </c>
      <c r="C28" s="27">
        <f>B28/1.13</f>
        <v>41.057787610619471</v>
      </c>
      <c r="D28" s="27">
        <f>$D$27*$R$7</f>
        <v>1.05</v>
      </c>
      <c r="E28" s="27">
        <f>D28/1.13</f>
        <v>0.92920353982300896</v>
      </c>
      <c r="F28" s="27">
        <f>$F$27*$R$8</f>
        <v>1.2600000000000002</v>
      </c>
      <c r="G28" s="28">
        <f>F28/1.13</f>
        <v>1.115044247787611</v>
      </c>
      <c r="H28" s="27">
        <f>$B$27*$R$6</f>
        <v>46.395299999999999</v>
      </c>
      <c r="I28" s="27">
        <f>H28/1.13</f>
        <v>41.057787610619471</v>
      </c>
      <c r="J28" s="27">
        <f>$D$27*$R$7</f>
        <v>1.05</v>
      </c>
      <c r="K28" s="27">
        <f>J28/1.13</f>
        <v>0.92920353982300896</v>
      </c>
      <c r="L28" s="27">
        <f>$F$27*$R$8</f>
        <v>1.2600000000000002</v>
      </c>
      <c r="M28" s="28">
        <f>L28/1.13</f>
        <v>1.115044247787611</v>
      </c>
      <c r="N28" s="26">
        <f>$B$27*$R$6</f>
        <v>46.395299999999999</v>
      </c>
      <c r="O28" s="27">
        <f>N28/1.13</f>
        <v>41.057787610619471</v>
      </c>
      <c r="P28" s="27">
        <f>$D$27*$R$7</f>
        <v>1.05</v>
      </c>
      <c r="Q28" s="27">
        <f>P28/1.13</f>
        <v>0.92920353982300896</v>
      </c>
      <c r="R28" s="27">
        <f>$F$27*$R$8</f>
        <v>1.2600000000000002</v>
      </c>
      <c r="S28" s="28">
        <f>R28/1.13</f>
        <v>1.115044247787611</v>
      </c>
      <c r="T28" s="26">
        <f>$B$27*$R$6</f>
        <v>46.395299999999999</v>
      </c>
      <c r="U28" s="27">
        <f>T28/1.13</f>
        <v>41.057787610619471</v>
      </c>
      <c r="V28" s="27">
        <f>$D$27*$R$7</f>
        <v>1.05</v>
      </c>
      <c r="W28" s="27">
        <f>V28/1.13</f>
        <v>0.92920353982300896</v>
      </c>
      <c r="X28" s="27">
        <f>$F$27*$R$8</f>
        <v>1.2600000000000002</v>
      </c>
      <c r="Y28" s="28">
        <f>X28/1.13</f>
        <v>1.115044247787611</v>
      </c>
    </row>
    <row r="29" spans="1:25" x14ac:dyDescent="0.2">
      <c r="A29" s="6" t="s">
        <v>9</v>
      </c>
      <c r="B29" s="26">
        <f t="shared" ref="B29:S29" si="2">B28</f>
        <v>46.395299999999999</v>
      </c>
      <c r="C29" s="27">
        <f t="shared" si="2"/>
        <v>41.057787610619471</v>
      </c>
      <c r="D29" s="27">
        <f t="shared" si="2"/>
        <v>1.05</v>
      </c>
      <c r="E29" s="27">
        <f t="shared" si="2"/>
        <v>0.92920353982300896</v>
      </c>
      <c r="F29" s="27">
        <f t="shared" si="2"/>
        <v>1.2600000000000002</v>
      </c>
      <c r="G29" s="28">
        <f t="shared" si="2"/>
        <v>1.115044247787611</v>
      </c>
      <c r="H29" s="27">
        <f t="shared" si="2"/>
        <v>46.395299999999999</v>
      </c>
      <c r="I29" s="27">
        <f t="shared" si="2"/>
        <v>41.057787610619471</v>
      </c>
      <c r="J29" s="27">
        <f t="shared" si="2"/>
        <v>1.05</v>
      </c>
      <c r="K29" s="27">
        <f t="shared" si="2"/>
        <v>0.92920353982300896</v>
      </c>
      <c r="L29" s="27">
        <f t="shared" si="2"/>
        <v>1.2600000000000002</v>
      </c>
      <c r="M29" s="28">
        <f t="shared" si="2"/>
        <v>1.115044247787611</v>
      </c>
      <c r="N29" s="26">
        <f t="shared" si="2"/>
        <v>46.395299999999999</v>
      </c>
      <c r="O29" s="27">
        <f t="shared" si="2"/>
        <v>41.057787610619471</v>
      </c>
      <c r="P29" s="27">
        <f t="shared" si="2"/>
        <v>1.05</v>
      </c>
      <c r="Q29" s="27">
        <f t="shared" si="2"/>
        <v>0.92920353982300896</v>
      </c>
      <c r="R29" s="27">
        <f t="shared" si="2"/>
        <v>1.2600000000000002</v>
      </c>
      <c r="S29" s="28">
        <f t="shared" si="2"/>
        <v>1.115044247787611</v>
      </c>
      <c r="T29" s="26">
        <f t="shared" ref="T29:Y29" si="3">T28</f>
        <v>46.395299999999999</v>
      </c>
      <c r="U29" s="27">
        <f t="shared" si="3"/>
        <v>41.057787610619471</v>
      </c>
      <c r="V29" s="27">
        <f t="shared" si="3"/>
        <v>1.05</v>
      </c>
      <c r="W29" s="27">
        <f t="shared" si="3"/>
        <v>0.92920353982300896</v>
      </c>
      <c r="X29" s="27">
        <f t="shared" si="3"/>
        <v>1.2600000000000002</v>
      </c>
      <c r="Y29" s="28">
        <f t="shared" si="3"/>
        <v>1.115044247787611</v>
      </c>
    </row>
    <row r="30" spans="1:25" x14ac:dyDescent="0.2">
      <c r="A30" s="16" t="s">
        <v>10</v>
      </c>
      <c r="B30" s="63">
        <v>0.01</v>
      </c>
      <c r="C30" s="40">
        <f>B30</f>
        <v>0.01</v>
      </c>
      <c r="D30" s="60">
        <v>0.01</v>
      </c>
      <c r="E30" s="40">
        <f>D30</f>
        <v>0.01</v>
      </c>
      <c r="F30" s="60">
        <v>0.01</v>
      </c>
      <c r="G30" s="30">
        <f>F30</f>
        <v>0.01</v>
      </c>
      <c r="H30" s="60">
        <v>0.01</v>
      </c>
      <c r="I30" s="40">
        <v>0.01</v>
      </c>
      <c r="J30" s="60">
        <v>0.01</v>
      </c>
      <c r="K30" s="40">
        <v>0.01</v>
      </c>
      <c r="L30" s="60">
        <v>0.01</v>
      </c>
      <c r="M30" s="30">
        <v>0.01</v>
      </c>
      <c r="N30" s="63">
        <v>0.01</v>
      </c>
      <c r="O30" s="40">
        <v>0.01</v>
      </c>
      <c r="P30" s="60">
        <v>0.01</v>
      </c>
      <c r="Q30" s="40">
        <v>0.01</v>
      </c>
      <c r="R30" s="60">
        <v>0.01</v>
      </c>
      <c r="S30" s="30">
        <v>0.01</v>
      </c>
      <c r="T30" s="63">
        <v>0.01</v>
      </c>
      <c r="U30" s="40">
        <v>0.01</v>
      </c>
      <c r="V30" s="60">
        <v>0.01</v>
      </c>
      <c r="W30" s="40">
        <v>0.01</v>
      </c>
      <c r="X30" s="60">
        <v>0.01</v>
      </c>
      <c r="Y30" s="30">
        <v>0.01</v>
      </c>
    </row>
    <row r="31" spans="1:25" x14ac:dyDescent="0.2">
      <c r="A31" s="6" t="s">
        <v>11</v>
      </c>
      <c r="B31" s="26">
        <f>B18*B30*1.13</f>
        <v>7.4895269999999989</v>
      </c>
      <c r="C31" s="27">
        <f>B31</f>
        <v>7.4895269999999989</v>
      </c>
      <c r="D31" s="27">
        <f>D18*D30*1.13</f>
        <v>0.42939999999999995</v>
      </c>
      <c r="E31" s="27">
        <f>D31</f>
        <v>0.42939999999999995</v>
      </c>
      <c r="F31" s="27">
        <f>F18*F30*1.13</f>
        <v>0.65088000000000001</v>
      </c>
      <c r="G31" s="28">
        <f>F31</f>
        <v>0.65088000000000001</v>
      </c>
      <c r="H31" s="27">
        <f>H18*H30*1.13</f>
        <v>7.4895269999999989</v>
      </c>
      <c r="I31" s="27">
        <f>H31</f>
        <v>7.4895269999999989</v>
      </c>
      <c r="J31" s="27">
        <f>J18*J30*1.13</f>
        <v>0.42939999999999995</v>
      </c>
      <c r="K31" s="27">
        <f>J31</f>
        <v>0.42939999999999995</v>
      </c>
      <c r="L31" s="27">
        <f>L18*L30*1.13</f>
        <v>0.65088000000000001</v>
      </c>
      <c r="M31" s="28">
        <f>L31</f>
        <v>0.65088000000000001</v>
      </c>
      <c r="N31" s="26">
        <f>N18*N30*1.13</f>
        <v>7.4895269999999989</v>
      </c>
      <c r="O31" s="27">
        <f>N31</f>
        <v>7.4895269999999989</v>
      </c>
      <c r="P31" s="27">
        <f>P18*P30*1.13</f>
        <v>0.42939999999999995</v>
      </c>
      <c r="Q31" s="27">
        <f>P31</f>
        <v>0.42939999999999995</v>
      </c>
      <c r="R31" s="27">
        <f>R18*R30*1.13</f>
        <v>0.65088000000000001</v>
      </c>
      <c r="S31" s="28">
        <f>R31</f>
        <v>0.65088000000000001</v>
      </c>
      <c r="T31" s="26">
        <f>T18*T30*1.13</f>
        <v>7.4895269999999989</v>
      </c>
      <c r="U31" s="27">
        <f>T31</f>
        <v>7.4895269999999989</v>
      </c>
      <c r="V31" s="27">
        <f>V18*V30*1.13</f>
        <v>0.42939999999999995</v>
      </c>
      <c r="W31" s="27">
        <f>V31</f>
        <v>0.42939999999999995</v>
      </c>
      <c r="X31" s="27">
        <f>X18*X30*1.13</f>
        <v>0.65088000000000001</v>
      </c>
      <c r="Y31" s="28">
        <f>X31</f>
        <v>0.65088000000000001</v>
      </c>
    </row>
    <row r="32" spans="1:25" x14ac:dyDescent="0.2">
      <c r="A32" s="6" t="s">
        <v>29</v>
      </c>
      <c r="B32" s="63">
        <v>0</v>
      </c>
      <c r="C32" s="40">
        <f>B32</f>
        <v>0</v>
      </c>
      <c r="D32" s="60">
        <v>0</v>
      </c>
      <c r="E32" s="40">
        <f>D32</f>
        <v>0</v>
      </c>
      <c r="F32" s="60">
        <v>0</v>
      </c>
      <c r="G32" s="30">
        <f>F32</f>
        <v>0</v>
      </c>
      <c r="H32" s="60">
        <v>0</v>
      </c>
      <c r="I32" s="40">
        <v>0.01</v>
      </c>
      <c r="J32" s="60">
        <v>0</v>
      </c>
      <c r="K32" s="40">
        <v>0.01</v>
      </c>
      <c r="L32" s="60">
        <v>0</v>
      </c>
      <c r="M32" s="30">
        <v>0.01</v>
      </c>
      <c r="N32" s="63">
        <v>0</v>
      </c>
      <c r="O32" s="40">
        <v>0.01</v>
      </c>
      <c r="P32" s="60">
        <v>0</v>
      </c>
      <c r="Q32" s="40">
        <v>0.01</v>
      </c>
      <c r="R32" s="60">
        <v>0</v>
      </c>
      <c r="S32" s="30">
        <v>0.01</v>
      </c>
      <c r="T32" s="63">
        <v>0</v>
      </c>
      <c r="U32" s="40">
        <v>0.01</v>
      </c>
      <c r="V32" s="60">
        <v>0</v>
      </c>
      <c r="W32" s="40">
        <v>0.01</v>
      </c>
      <c r="X32" s="60">
        <v>0</v>
      </c>
      <c r="Y32" s="30">
        <v>0.01</v>
      </c>
    </row>
    <row r="33" spans="1:25" x14ac:dyDescent="0.2">
      <c r="A33" s="7" t="s">
        <v>14</v>
      </c>
      <c r="B33" s="49">
        <f>B32*B35</f>
        <v>0</v>
      </c>
      <c r="C33" s="42">
        <f>B33</f>
        <v>0</v>
      </c>
      <c r="D33" s="42">
        <f>D32*D35</f>
        <v>0</v>
      </c>
      <c r="E33" s="42">
        <f>D33</f>
        <v>0</v>
      </c>
      <c r="F33" s="42">
        <f>F32*F35</f>
        <v>0</v>
      </c>
      <c r="G33" s="32">
        <f>F33</f>
        <v>0</v>
      </c>
      <c r="H33" s="42">
        <f>H32*H35</f>
        <v>0</v>
      </c>
      <c r="I33" s="42">
        <f>H33</f>
        <v>0</v>
      </c>
      <c r="J33" s="42">
        <f>J32*J35</f>
        <v>0</v>
      </c>
      <c r="K33" s="42">
        <f>J33</f>
        <v>0</v>
      </c>
      <c r="L33" s="42">
        <f>L32*L35</f>
        <v>0</v>
      </c>
      <c r="M33" s="32">
        <f>L33</f>
        <v>0</v>
      </c>
      <c r="N33" s="49">
        <f>N32*N35</f>
        <v>0</v>
      </c>
      <c r="O33" s="42">
        <f>N33</f>
        <v>0</v>
      </c>
      <c r="P33" s="42">
        <f>P32*P35</f>
        <v>0</v>
      </c>
      <c r="Q33" s="42">
        <f>P33</f>
        <v>0</v>
      </c>
      <c r="R33" s="42">
        <f>R32*R35</f>
        <v>0</v>
      </c>
      <c r="S33" s="32">
        <f>R33</f>
        <v>0</v>
      </c>
      <c r="T33" s="49">
        <f>T32*T35</f>
        <v>0</v>
      </c>
      <c r="U33" s="42">
        <f>T33</f>
        <v>0</v>
      </c>
      <c r="V33" s="42">
        <f>V32*V35</f>
        <v>0</v>
      </c>
      <c r="W33" s="42">
        <f>V33</f>
        <v>0</v>
      </c>
      <c r="X33" s="42">
        <f>X32*X35</f>
        <v>0</v>
      </c>
      <c r="Y33" s="32">
        <f>X33</f>
        <v>0</v>
      </c>
    </row>
    <row r="34" spans="1:25" x14ac:dyDescent="0.2">
      <c r="A34" s="6" t="s">
        <v>12</v>
      </c>
      <c r="B34" s="86">
        <f>B18+B19++B20+B21+B24+B26+B29+B31+B33</f>
        <v>754.61432699999989</v>
      </c>
      <c r="C34" s="80">
        <f t="shared" ref="C34:S34" si="4">C18+C19++C20+C21+C24+C26+C29+C31+C33</f>
        <v>673.02663761946894</v>
      </c>
      <c r="D34" s="80">
        <f t="shared" si="4"/>
        <v>41.379399999999997</v>
      </c>
      <c r="E34" s="80">
        <f t="shared" si="4"/>
        <v>36.886922123893804</v>
      </c>
      <c r="F34" s="80">
        <f t="shared" si="4"/>
        <v>62.390880000000003</v>
      </c>
      <c r="G34" s="81">
        <f t="shared" si="4"/>
        <v>55.619375575221248</v>
      </c>
      <c r="H34" s="80">
        <f t="shared" si="4"/>
        <v>749.81432699999993</v>
      </c>
      <c r="I34" s="80">
        <f t="shared" si="4"/>
        <v>668.22663761946899</v>
      </c>
      <c r="J34" s="80">
        <f t="shared" si="4"/>
        <v>41.379399999999997</v>
      </c>
      <c r="K34" s="80">
        <f t="shared" si="4"/>
        <v>36.886922123893804</v>
      </c>
      <c r="L34" s="80">
        <f t="shared" si="4"/>
        <v>62.390880000000003</v>
      </c>
      <c r="M34" s="81">
        <f t="shared" si="4"/>
        <v>55.619375575221248</v>
      </c>
      <c r="N34" s="79">
        <f t="shared" si="4"/>
        <v>749.81432699999993</v>
      </c>
      <c r="O34" s="80">
        <f t="shared" si="4"/>
        <v>668.22663761946899</v>
      </c>
      <c r="P34" s="80">
        <f t="shared" si="4"/>
        <v>41.379399999999997</v>
      </c>
      <c r="Q34" s="80">
        <f t="shared" si="4"/>
        <v>36.886922123893804</v>
      </c>
      <c r="R34" s="80">
        <f t="shared" si="4"/>
        <v>62.390880000000003</v>
      </c>
      <c r="S34" s="81">
        <f t="shared" si="4"/>
        <v>55.619375575221248</v>
      </c>
      <c r="T34" s="79">
        <f t="shared" ref="T34:Y34" si="5">T18+T19++T20+T21+T24+T26+T29+T31+T33</f>
        <v>749.81432699999993</v>
      </c>
      <c r="U34" s="80">
        <f t="shared" si="5"/>
        <v>668.22663761946899</v>
      </c>
      <c r="V34" s="80">
        <f t="shared" si="5"/>
        <v>41.379399999999997</v>
      </c>
      <c r="W34" s="80">
        <f t="shared" si="5"/>
        <v>36.886922123893804</v>
      </c>
      <c r="X34" s="80">
        <f t="shared" si="5"/>
        <v>62.390880000000003</v>
      </c>
      <c r="Y34" s="81">
        <f t="shared" si="5"/>
        <v>55.619375575221248</v>
      </c>
    </row>
    <row r="35" spans="1:25" x14ac:dyDescent="0.2">
      <c r="A35" s="6" t="s">
        <v>13</v>
      </c>
      <c r="B35" s="84">
        <v>810</v>
      </c>
      <c r="C35" s="43">
        <f>B35/1.13</f>
        <v>716.81415929203547</v>
      </c>
      <c r="D35" s="61">
        <v>59</v>
      </c>
      <c r="E35" s="43">
        <f>D35/1.13</f>
        <v>52.212389380530979</v>
      </c>
      <c r="F35" s="61">
        <v>90</v>
      </c>
      <c r="G35" s="33">
        <f>F35/1.13</f>
        <v>79.646017699115049</v>
      </c>
      <c r="H35" s="61">
        <v>762</v>
      </c>
      <c r="I35" s="43">
        <f>H35/1.13</f>
        <v>674.33628318584078</v>
      </c>
      <c r="J35" s="61">
        <v>59</v>
      </c>
      <c r="K35" s="43">
        <f>J35/1.13</f>
        <v>52.212389380530979</v>
      </c>
      <c r="L35" s="61">
        <v>90</v>
      </c>
      <c r="M35" s="33">
        <f>L35/1.13</f>
        <v>79.646017699115049</v>
      </c>
      <c r="N35" s="64">
        <v>723.9</v>
      </c>
      <c r="O35" s="43">
        <f>N35/1.13</f>
        <v>640.6194690265487</v>
      </c>
      <c r="P35" s="61">
        <v>59</v>
      </c>
      <c r="Q35" s="43">
        <f>P35/1.13</f>
        <v>52.212389380530979</v>
      </c>
      <c r="R35" s="61">
        <v>90</v>
      </c>
      <c r="S35" s="33">
        <f>R35/1.13</f>
        <v>79.646017699115049</v>
      </c>
      <c r="T35" s="64">
        <v>723.9</v>
      </c>
      <c r="U35" s="43">
        <f>T35/1.13</f>
        <v>640.6194690265487</v>
      </c>
      <c r="V35" s="61">
        <v>59</v>
      </c>
      <c r="W35" s="43">
        <f>V35/1.13</f>
        <v>52.212389380530979</v>
      </c>
      <c r="X35" s="61">
        <v>90</v>
      </c>
      <c r="Y35" s="33">
        <f>X35/1.13</f>
        <v>79.646017699115049</v>
      </c>
    </row>
    <row r="36" spans="1:25" x14ac:dyDescent="0.2">
      <c r="A36" s="7" t="s">
        <v>15</v>
      </c>
      <c r="B36" s="49">
        <f t="shared" ref="B36:S36" si="6">B35-B18</f>
        <v>147.21000000000004</v>
      </c>
      <c r="C36" s="42">
        <f t="shared" si="6"/>
        <v>130.2743362831859</v>
      </c>
      <c r="D36" s="42">
        <f t="shared" si="6"/>
        <v>21</v>
      </c>
      <c r="E36" s="42">
        <f t="shared" si="6"/>
        <v>18.584070796460182</v>
      </c>
      <c r="F36" s="42">
        <f t="shared" si="6"/>
        <v>32.4</v>
      </c>
      <c r="G36" s="32">
        <f t="shared" si="6"/>
        <v>28.672566371681413</v>
      </c>
      <c r="H36" s="42">
        <f t="shared" si="6"/>
        <v>99.210000000000036</v>
      </c>
      <c r="I36" s="42">
        <f t="shared" si="6"/>
        <v>87.796460176991218</v>
      </c>
      <c r="J36" s="42">
        <f t="shared" si="6"/>
        <v>21</v>
      </c>
      <c r="K36" s="42">
        <f t="shared" si="6"/>
        <v>18.584070796460182</v>
      </c>
      <c r="L36" s="42">
        <f t="shared" si="6"/>
        <v>32.4</v>
      </c>
      <c r="M36" s="32">
        <f t="shared" si="6"/>
        <v>28.672566371681413</v>
      </c>
      <c r="N36" s="49">
        <f t="shared" si="6"/>
        <v>61.110000000000014</v>
      </c>
      <c r="O36" s="42">
        <f t="shared" si="6"/>
        <v>54.079646017699133</v>
      </c>
      <c r="P36" s="42">
        <f t="shared" si="6"/>
        <v>21</v>
      </c>
      <c r="Q36" s="42">
        <f t="shared" si="6"/>
        <v>18.584070796460182</v>
      </c>
      <c r="R36" s="42">
        <f t="shared" si="6"/>
        <v>32.4</v>
      </c>
      <c r="S36" s="32">
        <f t="shared" si="6"/>
        <v>28.672566371681413</v>
      </c>
      <c r="T36" s="49">
        <f t="shared" ref="T36:Y36" si="7">T35-T18</f>
        <v>61.110000000000014</v>
      </c>
      <c r="U36" s="42">
        <f t="shared" si="7"/>
        <v>54.079646017699133</v>
      </c>
      <c r="V36" s="42">
        <f t="shared" si="7"/>
        <v>21</v>
      </c>
      <c r="W36" s="42">
        <f t="shared" si="7"/>
        <v>18.584070796460182</v>
      </c>
      <c r="X36" s="42">
        <f t="shared" si="7"/>
        <v>32.4</v>
      </c>
      <c r="Y36" s="32">
        <f t="shared" si="7"/>
        <v>28.672566371681413</v>
      </c>
    </row>
    <row r="37" spans="1:25" x14ac:dyDescent="0.2">
      <c r="A37" s="7" t="s">
        <v>16</v>
      </c>
      <c r="B37" s="50">
        <f t="shared" ref="B37:S37" si="8">B36/B35</f>
        <v>0.18174074074074079</v>
      </c>
      <c r="C37" s="44">
        <f t="shared" si="8"/>
        <v>0.18174074074074081</v>
      </c>
      <c r="D37" s="51">
        <f t="shared" si="8"/>
        <v>0.3559322033898305</v>
      </c>
      <c r="E37" s="44">
        <f t="shared" si="8"/>
        <v>0.35593220338983056</v>
      </c>
      <c r="F37" s="51">
        <f t="shared" si="8"/>
        <v>0.36</v>
      </c>
      <c r="G37" s="34">
        <f t="shared" si="8"/>
        <v>0.35999999999999993</v>
      </c>
      <c r="H37" s="51">
        <f t="shared" si="8"/>
        <v>0.13019685039370082</v>
      </c>
      <c r="I37" s="44">
        <f t="shared" si="8"/>
        <v>0.13019685039370088</v>
      </c>
      <c r="J37" s="51">
        <f t="shared" si="8"/>
        <v>0.3559322033898305</v>
      </c>
      <c r="K37" s="44">
        <f t="shared" si="8"/>
        <v>0.35593220338983056</v>
      </c>
      <c r="L37" s="51">
        <f t="shared" si="8"/>
        <v>0.36</v>
      </c>
      <c r="M37" s="34">
        <f t="shared" si="8"/>
        <v>0.35999999999999993</v>
      </c>
      <c r="N37" s="50">
        <f t="shared" si="8"/>
        <v>8.4417737256527167E-2</v>
      </c>
      <c r="O37" s="44">
        <f t="shared" si="8"/>
        <v>8.4417737256527167E-2</v>
      </c>
      <c r="P37" s="51">
        <f t="shared" si="8"/>
        <v>0.3559322033898305</v>
      </c>
      <c r="Q37" s="44">
        <f t="shared" si="8"/>
        <v>0.35593220338983056</v>
      </c>
      <c r="R37" s="51">
        <f t="shared" si="8"/>
        <v>0.36</v>
      </c>
      <c r="S37" s="34">
        <f t="shared" si="8"/>
        <v>0.35999999999999993</v>
      </c>
      <c r="T37" s="50">
        <f t="shared" ref="T37:Y37" si="9">T36/T35</f>
        <v>8.4417737256527167E-2</v>
      </c>
      <c r="U37" s="44">
        <f t="shared" si="9"/>
        <v>8.4417737256527167E-2</v>
      </c>
      <c r="V37" s="51">
        <f t="shared" si="9"/>
        <v>0.3559322033898305</v>
      </c>
      <c r="W37" s="44">
        <f t="shared" si="9"/>
        <v>0.35593220338983056</v>
      </c>
      <c r="X37" s="51">
        <f t="shared" si="9"/>
        <v>0.36</v>
      </c>
      <c r="Y37" s="34">
        <f t="shared" si="9"/>
        <v>0.35999999999999993</v>
      </c>
    </row>
    <row r="38" spans="1:25" x14ac:dyDescent="0.2">
      <c r="A38" s="7" t="s">
        <v>17</v>
      </c>
      <c r="B38" s="91">
        <f t="shared" ref="B38:S38" si="10">B35-B34</f>
        <v>55.385673000000111</v>
      </c>
      <c r="C38" s="85">
        <f t="shared" si="10"/>
        <v>43.787521672566527</v>
      </c>
      <c r="D38" s="45">
        <f t="shared" si="10"/>
        <v>17.620600000000003</v>
      </c>
      <c r="E38" s="45">
        <f t="shared" si="10"/>
        <v>15.325467256637175</v>
      </c>
      <c r="F38" s="45">
        <f t="shared" si="10"/>
        <v>27.609119999999997</v>
      </c>
      <c r="G38" s="35">
        <f t="shared" si="10"/>
        <v>24.026642123893801</v>
      </c>
      <c r="H38" s="52">
        <f t="shared" si="10"/>
        <v>12.185673000000065</v>
      </c>
      <c r="I38" s="45">
        <f t="shared" si="10"/>
        <v>6.1096455663717961</v>
      </c>
      <c r="J38" s="45">
        <f t="shared" si="10"/>
        <v>17.620600000000003</v>
      </c>
      <c r="K38" s="45">
        <f t="shared" si="10"/>
        <v>15.325467256637175</v>
      </c>
      <c r="L38" s="45">
        <f t="shared" si="10"/>
        <v>27.609119999999997</v>
      </c>
      <c r="M38" s="35">
        <f t="shared" si="10"/>
        <v>24.026642123893801</v>
      </c>
      <c r="N38" s="52">
        <f t="shared" si="10"/>
        <v>-25.914326999999957</v>
      </c>
      <c r="O38" s="45">
        <f t="shared" si="10"/>
        <v>-27.607168592920289</v>
      </c>
      <c r="P38" s="45">
        <f t="shared" si="10"/>
        <v>17.620600000000003</v>
      </c>
      <c r="Q38" s="45">
        <f t="shared" si="10"/>
        <v>15.325467256637175</v>
      </c>
      <c r="R38" s="45">
        <f t="shared" si="10"/>
        <v>27.609119999999997</v>
      </c>
      <c r="S38" s="35">
        <f t="shared" si="10"/>
        <v>24.026642123893801</v>
      </c>
      <c r="T38" s="52">
        <f t="shared" ref="T38:Y38" si="11">T35-T34</f>
        <v>-25.914326999999957</v>
      </c>
      <c r="U38" s="45">
        <f t="shared" si="11"/>
        <v>-27.607168592920289</v>
      </c>
      <c r="V38" s="45">
        <f t="shared" si="11"/>
        <v>17.620600000000003</v>
      </c>
      <c r="W38" s="45">
        <f t="shared" si="11"/>
        <v>15.325467256637175</v>
      </c>
      <c r="X38" s="45">
        <f t="shared" si="11"/>
        <v>27.609119999999997</v>
      </c>
      <c r="Y38" s="35">
        <f t="shared" si="11"/>
        <v>24.026642123893801</v>
      </c>
    </row>
    <row r="39" spans="1:25" x14ac:dyDescent="0.2">
      <c r="A39" s="7" t="s">
        <v>18</v>
      </c>
      <c r="B39" s="50">
        <f t="shared" ref="B39:S39" si="12">B38/B35</f>
        <v>6.837737407407421E-2</v>
      </c>
      <c r="C39" s="44">
        <f t="shared" si="12"/>
        <v>6.108629566666688E-2</v>
      </c>
      <c r="D39" s="51">
        <f t="shared" si="12"/>
        <v>0.29865423728813567</v>
      </c>
      <c r="E39" s="44">
        <f t="shared" si="12"/>
        <v>0.29352166101694926</v>
      </c>
      <c r="F39" s="51">
        <f t="shared" si="12"/>
        <v>0.30676799999999999</v>
      </c>
      <c r="G39" s="34">
        <f t="shared" si="12"/>
        <v>0.30166783999999991</v>
      </c>
      <c r="H39" s="51">
        <f t="shared" si="12"/>
        <v>1.5991696850393786E-2</v>
      </c>
      <c r="I39" s="44">
        <f t="shared" si="12"/>
        <v>9.0602355511812706E-3</v>
      </c>
      <c r="J39" s="51">
        <f t="shared" si="12"/>
        <v>0.29865423728813567</v>
      </c>
      <c r="K39" s="44">
        <f t="shared" si="12"/>
        <v>0.29352166101694926</v>
      </c>
      <c r="L39" s="51">
        <f t="shared" si="12"/>
        <v>0.30676799999999999</v>
      </c>
      <c r="M39" s="34">
        <f t="shared" si="12"/>
        <v>0.30166783999999991</v>
      </c>
      <c r="N39" s="50">
        <f t="shared" si="12"/>
        <v>-3.5798213841690782E-2</v>
      </c>
      <c r="O39" s="44">
        <f t="shared" si="12"/>
        <v>-4.3094488893493474E-2</v>
      </c>
      <c r="P39" s="51">
        <f t="shared" si="12"/>
        <v>0.29865423728813567</v>
      </c>
      <c r="Q39" s="44">
        <f t="shared" si="12"/>
        <v>0.29352166101694926</v>
      </c>
      <c r="R39" s="51">
        <f t="shared" si="12"/>
        <v>0.30676799999999999</v>
      </c>
      <c r="S39" s="34">
        <f t="shared" si="12"/>
        <v>0.30166783999999991</v>
      </c>
      <c r="T39" s="50">
        <f t="shared" ref="T39:Y39" si="13">T38/T35</f>
        <v>-3.5798213841690782E-2</v>
      </c>
      <c r="U39" s="44">
        <f t="shared" si="13"/>
        <v>-4.3094488893493474E-2</v>
      </c>
      <c r="V39" s="51">
        <f t="shared" si="13"/>
        <v>0.29865423728813567</v>
      </c>
      <c r="W39" s="44">
        <f t="shared" si="13"/>
        <v>0.29352166101694926</v>
      </c>
      <c r="X39" s="51">
        <f t="shared" si="13"/>
        <v>0.30676799999999999</v>
      </c>
      <c r="Y39" s="34">
        <f t="shared" si="13"/>
        <v>0.30166783999999991</v>
      </c>
    </row>
    <row r="40" spans="1:25" x14ac:dyDescent="0.2">
      <c r="A40" s="8" t="s">
        <v>28</v>
      </c>
      <c r="B40" s="53">
        <f>I6</f>
        <v>25000</v>
      </c>
      <c r="C40" s="46">
        <f>B40</f>
        <v>25000</v>
      </c>
      <c r="D40" s="46">
        <f>L6</f>
        <v>50000</v>
      </c>
      <c r="E40" s="46">
        <f>D40</f>
        <v>50000</v>
      </c>
      <c r="F40" s="46">
        <f>O6</f>
        <v>25000</v>
      </c>
      <c r="G40" s="36">
        <f>F40</f>
        <v>25000</v>
      </c>
      <c r="H40" s="46">
        <f>I7</f>
        <v>40000</v>
      </c>
      <c r="I40" s="46">
        <f>H40</f>
        <v>40000</v>
      </c>
      <c r="J40" s="46">
        <f>L7</f>
        <v>80000</v>
      </c>
      <c r="K40" s="46">
        <f>J40</f>
        <v>80000</v>
      </c>
      <c r="L40" s="46">
        <f>O7</f>
        <v>25000</v>
      </c>
      <c r="M40" s="36">
        <f>L40</f>
        <v>25000</v>
      </c>
      <c r="N40" s="53">
        <f>I8</f>
        <v>45000</v>
      </c>
      <c r="O40" s="46">
        <f>N40</f>
        <v>45000</v>
      </c>
      <c r="P40" s="46">
        <f>L8</f>
        <v>90000</v>
      </c>
      <c r="Q40" s="46">
        <f>P40</f>
        <v>90000</v>
      </c>
      <c r="R40" s="46">
        <f>O8</f>
        <v>25000</v>
      </c>
      <c r="S40" s="36">
        <f>R40</f>
        <v>25000</v>
      </c>
      <c r="T40" s="53">
        <f>O8</f>
        <v>25000</v>
      </c>
      <c r="U40" s="46">
        <f>T40</f>
        <v>25000</v>
      </c>
      <c r="V40" s="46">
        <f>R8</f>
        <v>36</v>
      </c>
      <c r="W40" s="46">
        <f>V40</f>
        <v>36</v>
      </c>
      <c r="X40" s="46">
        <f>U8</f>
        <v>0</v>
      </c>
      <c r="Y40" s="36">
        <f>X40</f>
        <v>0</v>
      </c>
    </row>
    <row r="41" spans="1:25" x14ac:dyDescent="0.2">
      <c r="A41" s="8" t="s">
        <v>41</v>
      </c>
      <c r="B41" s="53">
        <f t="shared" ref="B41:S41" si="14">B40*B35</f>
        <v>20250000</v>
      </c>
      <c r="C41" s="47">
        <f t="shared" si="14"/>
        <v>17920353.982300885</v>
      </c>
      <c r="D41" s="46">
        <f t="shared" si="14"/>
        <v>2950000</v>
      </c>
      <c r="E41" s="47">
        <f t="shared" si="14"/>
        <v>2610619.4690265488</v>
      </c>
      <c r="F41" s="46">
        <f t="shared" si="14"/>
        <v>2250000</v>
      </c>
      <c r="G41" s="37">
        <f t="shared" si="14"/>
        <v>1991150.4424778763</v>
      </c>
      <c r="H41" s="46">
        <f t="shared" si="14"/>
        <v>30480000</v>
      </c>
      <c r="I41" s="47">
        <f t="shared" si="14"/>
        <v>26973451.327433631</v>
      </c>
      <c r="J41" s="46">
        <f t="shared" si="14"/>
        <v>4720000</v>
      </c>
      <c r="K41" s="47">
        <f t="shared" si="14"/>
        <v>4176991.1504424782</v>
      </c>
      <c r="L41" s="46">
        <f t="shared" si="14"/>
        <v>2250000</v>
      </c>
      <c r="M41" s="37">
        <f t="shared" si="14"/>
        <v>1991150.4424778763</v>
      </c>
      <c r="N41" s="53">
        <f t="shared" si="14"/>
        <v>32575500</v>
      </c>
      <c r="O41" s="47">
        <f t="shared" si="14"/>
        <v>28827876.10619469</v>
      </c>
      <c r="P41" s="46">
        <f t="shared" si="14"/>
        <v>5310000</v>
      </c>
      <c r="Q41" s="47">
        <f t="shared" si="14"/>
        <v>4699115.0442477884</v>
      </c>
      <c r="R41" s="46">
        <f t="shared" si="14"/>
        <v>2250000</v>
      </c>
      <c r="S41" s="37">
        <f t="shared" si="14"/>
        <v>1991150.4424778763</v>
      </c>
      <c r="T41" s="53">
        <f t="shared" ref="T41:Y41" si="15">T40*T35</f>
        <v>18097500</v>
      </c>
      <c r="U41" s="47">
        <f t="shared" si="15"/>
        <v>16015486.725663718</v>
      </c>
      <c r="V41" s="46">
        <f t="shared" si="15"/>
        <v>2124</v>
      </c>
      <c r="W41" s="47">
        <f t="shared" si="15"/>
        <v>1879.6460176991152</v>
      </c>
      <c r="X41" s="46">
        <f t="shared" si="15"/>
        <v>0</v>
      </c>
      <c r="Y41" s="37">
        <f t="shared" si="15"/>
        <v>0</v>
      </c>
    </row>
    <row r="42" spans="1:25" ht="16.5" thickBot="1" x14ac:dyDescent="0.25">
      <c r="A42" s="8" t="s">
        <v>42</v>
      </c>
      <c r="B42" s="54">
        <f t="shared" ref="B42:S42" si="16">B40*B38</f>
        <v>1384641.8250000027</v>
      </c>
      <c r="C42" s="48">
        <f t="shared" si="16"/>
        <v>1094688.0418141631</v>
      </c>
      <c r="D42" s="55">
        <f t="shared" si="16"/>
        <v>881030.00000000012</v>
      </c>
      <c r="E42" s="48">
        <f t="shared" si="16"/>
        <v>766273.3628318588</v>
      </c>
      <c r="F42" s="55">
        <f t="shared" si="16"/>
        <v>690227.99999999988</v>
      </c>
      <c r="G42" s="38">
        <f t="shared" si="16"/>
        <v>600666.05309734505</v>
      </c>
      <c r="H42" s="55">
        <f t="shared" si="16"/>
        <v>487426.9200000026</v>
      </c>
      <c r="I42" s="48">
        <f t="shared" si="16"/>
        <v>244385.82265487185</v>
      </c>
      <c r="J42" s="55">
        <f t="shared" si="16"/>
        <v>1409648.0000000002</v>
      </c>
      <c r="K42" s="48">
        <f t="shared" si="16"/>
        <v>1226037.3805309741</v>
      </c>
      <c r="L42" s="55">
        <f t="shared" si="16"/>
        <v>690227.99999999988</v>
      </c>
      <c r="M42" s="38">
        <f t="shared" si="16"/>
        <v>600666.05309734505</v>
      </c>
      <c r="N42" s="54">
        <f t="shared" si="16"/>
        <v>-1166144.714999998</v>
      </c>
      <c r="O42" s="48">
        <f t="shared" si="16"/>
        <v>-1242322.586681413</v>
      </c>
      <c r="P42" s="55">
        <f t="shared" si="16"/>
        <v>1585854.0000000002</v>
      </c>
      <c r="Q42" s="48">
        <f t="shared" si="16"/>
        <v>1379292.0530973459</v>
      </c>
      <c r="R42" s="55">
        <f t="shared" si="16"/>
        <v>690227.99999999988</v>
      </c>
      <c r="S42" s="38">
        <f t="shared" si="16"/>
        <v>600666.05309734505</v>
      </c>
      <c r="T42" s="54">
        <f t="shared" ref="T42:Y42" si="17">T40*T38</f>
        <v>-647858.17499999888</v>
      </c>
      <c r="U42" s="48">
        <f t="shared" si="17"/>
        <v>-690179.21482300723</v>
      </c>
      <c r="V42" s="55">
        <f t="shared" si="17"/>
        <v>634.34160000000008</v>
      </c>
      <c r="W42" s="48">
        <f t="shared" si="17"/>
        <v>551.71682123893834</v>
      </c>
      <c r="X42" s="55">
        <f t="shared" si="17"/>
        <v>0</v>
      </c>
      <c r="Y42" s="38">
        <f t="shared" si="17"/>
        <v>0</v>
      </c>
    </row>
    <row r="43" spans="1:25" x14ac:dyDescent="0.2">
      <c r="A43" s="8"/>
      <c r="B43" s="9"/>
      <c r="C43" s="9"/>
      <c r="D43" s="9"/>
      <c r="E43" s="9"/>
      <c r="F43" s="9"/>
      <c r="G43" s="9"/>
      <c r="H43" s="9"/>
      <c r="I43" s="9"/>
      <c r="J43" s="9"/>
    </row>
    <row r="44" spans="1:25" x14ac:dyDescent="0.2">
      <c r="E44" s="9"/>
      <c r="F44" s="9"/>
      <c r="G44" s="9"/>
      <c r="H44" s="9"/>
      <c r="I44" s="9"/>
      <c r="J44" s="9"/>
    </row>
    <row r="45" spans="1:25" x14ac:dyDescent="0.2">
      <c r="E45" s="9"/>
      <c r="F45" s="9"/>
      <c r="G45" s="9"/>
      <c r="H45" s="9"/>
      <c r="I45" s="9"/>
      <c r="J45" s="9"/>
    </row>
    <row r="46" spans="1:25" x14ac:dyDescent="0.2">
      <c r="A46" s="96" t="s">
        <v>46</v>
      </c>
      <c r="B46" s="97">
        <f>B47+B48</f>
        <v>91181858.407079637</v>
      </c>
      <c r="E46" s="9"/>
      <c r="F46" s="9"/>
      <c r="G46" s="9"/>
      <c r="H46" s="9"/>
      <c r="I46" s="9"/>
      <c r="J46" s="9"/>
    </row>
    <row r="47" spans="1:25" x14ac:dyDescent="0.2">
      <c r="A47" s="98" t="s">
        <v>44</v>
      </c>
      <c r="B47" s="99">
        <f>C41+I41+O41</f>
        <v>73721681.415929198</v>
      </c>
      <c r="C47" s="9"/>
      <c r="D47" s="9"/>
      <c r="E47" s="9"/>
      <c r="F47" s="9"/>
      <c r="G47" s="9"/>
      <c r="H47" s="9"/>
      <c r="I47" s="9"/>
    </row>
    <row r="48" spans="1:25" x14ac:dyDescent="0.2">
      <c r="A48" s="100" t="s">
        <v>45</v>
      </c>
      <c r="B48" s="99">
        <f>E41+G41+K41+M41+Q41+S41</f>
        <v>17460176.991150446</v>
      </c>
      <c r="C48" s="10"/>
      <c r="D48" s="10"/>
      <c r="F48" s="10"/>
      <c r="G48" s="10"/>
      <c r="H48" s="10"/>
    </row>
    <row r="49" spans="1:4" x14ac:dyDescent="0.2">
      <c r="A49" s="96" t="s">
        <v>36</v>
      </c>
      <c r="B49" s="97">
        <f>B50+B51</f>
        <v>5270352.2335398355</v>
      </c>
    </row>
    <row r="50" spans="1:4" x14ac:dyDescent="0.2">
      <c r="A50" s="101" t="s">
        <v>48</v>
      </c>
      <c r="B50" s="99">
        <f>C42+I42+O42</f>
        <v>96751.277787622064</v>
      </c>
      <c r="D50" s="3" t="s">
        <v>62</v>
      </c>
    </row>
    <row r="51" spans="1:4" x14ac:dyDescent="0.2">
      <c r="A51" s="101" t="s">
        <v>49</v>
      </c>
      <c r="B51" s="99">
        <f>E42+G42+M42+K42+Q42+S42</f>
        <v>5173600.9557522135</v>
      </c>
    </row>
    <row r="52" spans="1:4" x14ac:dyDescent="0.2">
      <c r="A52" s="102" t="s">
        <v>47</v>
      </c>
      <c r="B52" s="103">
        <f>C12</f>
        <v>120000</v>
      </c>
    </row>
    <row r="53" spans="1:4" x14ac:dyDescent="0.2">
      <c r="A53" s="96" t="s">
        <v>37</v>
      </c>
      <c r="B53" s="104">
        <f>B49/B52</f>
        <v>43.919601946165294</v>
      </c>
    </row>
  </sheetData>
  <mergeCells count="5">
    <mergeCell ref="N16:S16"/>
    <mergeCell ref="A9:A10"/>
    <mergeCell ref="B16:G16"/>
    <mergeCell ref="H16:M16"/>
    <mergeCell ref="T16:Y16"/>
  </mergeCells>
  <phoneticPr fontId="3" type="noConversion"/>
  <pageMargins left="0.7" right="0.7" top="0.75" bottom="0.75" header="0.3" footer="0.3"/>
  <pageSetup paperSize="9" orientation="portrait" r:id="rId1"/>
  <ignoredErrors>
    <ignoredError sqref="C19 D40 F40 H40 J40 L4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DEF01-D656-4D2B-8361-A2BC0F4BBDC0}">
  <dimension ref="B1:D8"/>
  <sheetViews>
    <sheetView workbookViewId="0">
      <selection activeCell="C14" sqref="C14"/>
    </sheetView>
  </sheetViews>
  <sheetFormatPr defaultRowHeight="14.25" x14ac:dyDescent="0.2"/>
  <cols>
    <col min="2" max="2" width="14.625" customWidth="1"/>
  </cols>
  <sheetData>
    <row r="1" spans="2:4" x14ac:dyDescent="0.2">
      <c r="B1" t="s">
        <v>60</v>
      </c>
      <c r="C1" s="11" t="s">
        <v>72</v>
      </c>
      <c r="D1" s="11" t="s">
        <v>73</v>
      </c>
    </row>
    <row r="2" spans="2:4" x14ac:dyDescent="0.2">
      <c r="B2" t="s">
        <v>71</v>
      </c>
      <c r="C2">
        <v>0.17530000000000001</v>
      </c>
      <c r="D2">
        <f>C2*1.13</f>
        <v>0.19808899999999999</v>
      </c>
    </row>
    <row r="3" spans="2:4" x14ac:dyDescent="0.2">
      <c r="B3" t="s">
        <v>74</v>
      </c>
      <c r="C3">
        <v>9.7670999999999992</v>
      </c>
      <c r="D3">
        <f t="shared" ref="D3:D8" si="0">C3*1.13</f>
        <v>11.036822999999998</v>
      </c>
    </row>
    <row r="4" spans="2:4" x14ac:dyDescent="0.2">
      <c r="B4" t="s">
        <v>75</v>
      </c>
      <c r="C4">
        <f>C3/40</f>
        <v>0.24417749999999999</v>
      </c>
      <c r="D4">
        <f>C4*1.13</f>
        <v>0.27592057499999995</v>
      </c>
    </row>
    <row r="5" spans="2:4" x14ac:dyDescent="0.2">
      <c r="B5" t="s">
        <v>76</v>
      </c>
      <c r="C5">
        <f>C4*36</f>
        <v>8.7903900000000004</v>
      </c>
      <c r="D5">
        <f>C5*1.13</f>
        <v>9.9331406999999992</v>
      </c>
    </row>
    <row r="6" spans="2:4" x14ac:dyDescent="0.2">
      <c r="B6" t="s">
        <v>77</v>
      </c>
      <c r="D6">
        <f>D5+1</f>
        <v>10.933140699999999</v>
      </c>
    </row>
    <row r="7" spans="2:4" x14ac:dyDescent="0.2">
      <c r="B7" t="s">
        <v>79</v>
      </c>
      <c r="C7">
        <v>26.58</v>
      </c>
      <c r="D7">
        <f t="shared" si="0"/>
        <v>30.035399999999996</v>
      </c>
    </row>
    <row r="8" spans="2:4" x14ac:dyDescent="0.2">
      <c r="B8" t="s">
        <v>78</v>
      </c>
      <c r="C8">
        <f>C7-C3-C2*4</f>
        <v>16.111699999999999</v>
      </c>
      <c r="D8">
        <f t="shared" si="0"/>
        <v>18.206220999999996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Program Financials Details</vt:lpstr>
      <vt:lpstr>耗材成本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Liu</dc:creator>
  <cp:lastModifiedBy>Fangming Zhang</cp:lastModifiedBy>
  <dcterms:created xsi:type="dcterms:W3CDTF">2020-03-02T12:06:20Z</dcterms:created>
  <dcterms:modified xsi:type="dcterms:W3CDTF">2026-10-27T03:38:12Z</dcterms:modified>
</cp:coreProperties>
</file>