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Nan\Documents\GitHub\code_aiken\极印版 aiken\销量概率模型\"/>
    </mc:Choice>
  </mc:AlternateContent>
  <xr:revisionPtr revIDLastSave="0" documentId="13_ncr:1_{87E35CA5-0A6B-441B-ABED-BE5797A911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透视汇总表" sheetId="1" r:id="rId1"/>
    <sheet name="明细表" sheetId="3" r:id="rId2"/>
  </sheets>
  <definedNames>
    <definedName name="_xlnm._FilterDatabase" localSheetId="1" hidden="1">明细表!$A$1:$AF$123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3" i="3" l="1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Q8" i="1"/>
  <c r="O8" i="1"/>
  <c r="N8" i="1"/>
  <c r="O7" i="1"/>
  <c r="O6" i="1"/>
  <c r="O5" i="1"/>
  <c r="O4" i="1"/>
</calcChain>
</file>

<file path=xl/sharedStrings.xml><?xml version="1.0" encoding="utf-8"?>
<sst xmlns="http://schemas.openxmlformats.org/spreadsheetml/2006/main" count="473" uniqueCount="97">
  <si>
    <t>值</t>
  </si>
  <si>
    <t>型号</t>
  </si>
  <si>
    <t>求和项:展现数</t>
  </si>
  <si>
    <t>求和项:点击数</t>
  </si>
  <si>
    <t>求和项:花费</t>
  </si>
  <si>
    <t>花费占比</t>
  </si>
  <si>
    <t>求和项:总订单行</t>
  </si>
  <si>
    <t>求和项:总订单金额</t>
  </si>
  <si>
    <t>求和项:总加购数</t>
  </si>
  <si>
    <t>求和项:CPM</t>
  </si>
  <si>
    <t>求和项:CPC</t>
  </si>
  <si>
    <t>求和项:CTR（%）</t>
  </si>
  <si>
    <t>求和项:CVR（%）</t>
  </si>
  <si>
    <t>求和项:ROI</t>
  </si>
  <si>
    <t>单品GMV</t>
  </si>
  <si>
    <t>单品费比</t>
  </si>
  <si>
    <t>全店GMV（含耗材）</t>
  </si>
  <si>
    <t>全店费比</t>
  </si>
  <si>
    <t>N2</t>
  </si>
  <si>
    <t>S1</t>
  </si>
  <si>
    <t>N3</t>
  </si>
  <si>
    <t>N1</t>
  </si>
  <si>
    <t>总计</t>
  </si>
  <si>
    <t>日期</t>
  </si>
  <si>
    <t>跟单SKU ID</t>
  </si>
  <si>
    <t>跟单SKU名称</t>
  </si>
  <si>
    <t>展现数</t>
  </si>
  <si>
    <t>点击数</t>
  </si>
  <si>
    <t>点击率(%)</t>
  </si>
  <si>
    <t>花费</t>
  </si>
  <si>
    <t>千次展现成本</t>
  </si>
  <si>
    <t>平均点击成本</t>
  </si>
  <si>
    <t>直接订单行</t>
  </si>
  <si>
    <t>直接订单金额</t>
  </si>
  <si>
    <t>间接订单行</t>
  </si>
  <si>
    <t>间接订单金额</t>
  </si>
  <si>
    <t>总订单行</t>
  </si>
  <si>
    <t>总订单金额</t>
  </si>
  <si>
    <t>预售订单行</t>
  </si>
  <si>
    <t>预售订单金额</t>
  </si>
  <si>
    <t>直接加购数</t>
  </si>
  <si>
    <t>间接加购数</t>
  </si>
  <si>
    <t>总加购数</t>
  </si>
  <si>
    <t>加购成本</t>
  </si>
  <si>
    <t>转化率(%)</t>
  </si>
  <si>
    <t>平均订单成本</t>
  </si>
  <si>
    <t>投产比</t>
  </si>
  <si>
    <t>20260101~20260131</t>
  </si>
  <si>
    <t>100161035463</t>
  </si>
  <si>
    <t xml:space="preserve">极印手机照片打印机N2无线家用彩印电源版 自动覆膜高清画质 支持3英寸/6英寸 即拍即印相片打印机	</t>
  </si>
  <si>
    <t>100248592873</t>
  </si>
  <si>
    <t>极印AI贴纸照片打印一体机S1 AI抠图自动裁切 AI创意生图 自动覆膜高清画质 贴纸机照片打印机</t>
  </si>
  <si>
    <t>100205890794</t>
  </si>
  <si>
    <t xml:space="preserve">极印手机照片打印机N2无线家用彩印移动版 自动覆膜高清画质 支持3英寸/6英寸 即拍即印相片打印机	</t>
  </si>
  <si>
    <t>极印手机照片打印机N2无线家用彩印电源版 自动覆膜高清画质 支持3英寸/6英寸 即拍即印相片打印机</t>
  </si>
  <si>
    <t>100239100699</t>
  </si>
  <si>
    <t>极印口袋照片打印机N3 拍立得 热升华高清打印 AI写真 个性水印 便携式蓝牙无线连接相片打印机 礼物金</t>
  </si>
  <si>
    <t>极印手机照片打印机N2无线家用彩印移动版 自动覆膜高清画质 支持3英寸/6英寸 即拍即印相片打印机</t>
  </si>
  <si>
    <t>100319058168</t>
  </si>
  <si>
    <t>极印口袋照片打印机N3 拍立得 热升华高清打印 AI写真 个性水印 便携式蓝牙无线连接相片打印机 礼物紫</t>
  </si>
  <si>
    <t>100037857283</t>
  </si>
  <si>
    <t>极印口袋照片打印机手机拍立得 AR视频留声无线蓝牙 家用便携无墨 相片打印机 云朵白ZPP110 节日礼物</t>
  </si>
  <si>
    <t>100037857281</t>
  </si>
  <si>
    <t>极印口袋照片打印机手机拍立得 AR视频留声无线蓝牙 家用便携无墨 相片打印机 樱花粉ZPP110 节日礼物</t>
  </si>
  <si>
    <t>100323754754</t>
  </si>
  <si>
    <t>极印口袋照片打印机N3 拍立得 热升华高清打印 AI写真 个性水印 便携式蓝牙无线连接相片打印机 套装紫</t>
  </si>
  <si>
    <t>100075320109</t>
  </si>
  <si>
    <t>极印口袋照片打印机手机拍立得 AR视频留声无线蓝牙 家用便携无墨 相片打印机 薄荷绿ZPP110 节日礼物</t>
  </si>
  <si>
    <t>20260201~20260228</t>
  </si>
  <si>
    <t>100277553457</t>
  </si>
  <si>
    <t>极印口袋照片打印机N3京东独家礼盒  拍立得热升华高清画质AI写真个性水印便携式蓝牙相片打印礼物</t>
  </si>
  <si>
    <t>100334198866</t>
  </si>
  <si>
    <t>极印口袋照片打印机N3 拍立得 热升华高清打印 AI写真 个性水印 便携式蓝牙无线连接相片打印机 套装金</t>
  </si>
  <si>
    <t>100164677423</t>
  </si>
  <si>
    <t>极印照片打印机N2无线家用彩印移动版 手机即拍即印相片打印机 组套【标配+2盒相纸色带耗材】</t>
  </si>
  <si>
    <t>100211353388</t>
  </si>
  <si>
    <t>极印照片打印机N2无线家用彩印电源版 手机即拍即印相片打印机  组套【标配+2盒相纸色带耗材】</t>
  </si>
  <si>
    <t>100137956804</t>
  </si>
  <si>
    <t>极印口袋照片打印机 手机即拍即印AR视频留声无线蓝牙相片打印机 云朵白ZPP110+1盒耗材【组套装】</t>
  </si>
  <si>
    <t>100137958440</t>
  </si>
  <si>
    <t>极印口袋照片打印机 手机即拍即印AR视频留声无线蓝牙相片打印机 薄荷绿ZPP110+1盒耗材【组套装】</t>
  </si>
  <si>
    <t>20260301~20260331</t>
  </si>
  <si>
    <t>100137956772</t>
  </si>
  <si>
    <t>极印口袋照片打印机 手机即拍即印AR视频留声无线蓝牙相片打印机 樱花粉ZPP110+1盒耗材【组套装】</t>
  </si>
  <si>
    <t>100295684175</t>
  </si>
  <si>
    <t>100392741024</t>
  </si>
  <si>
    <t>极印AI贴纸照片打印一体机S1 AI抠图自动裁切 AI创意生图 自动覆膜高清画质 贴纸机照片打印机套餐一</t>
  </si>
  <si>
    <t>100301996285</t>
  </si>
  <si>
    <t>极印AI贴纸照片打印一体机S1 AI抠图自动裁切 AI创意生图 自动覆膜高清画质 贴纸机照片打印机 套餐二</t>
  </si>
  <si>
    <t>20260401~20260430</t>
  </si>
  <si>
    <t>20260501~20260531</t>
  </si>
  <si>
    <t>20260601~20260630</t>
  </si>
  <si>
    <t>20260701~20260731</t>
  </si>
  <si>
    <t>极印AI贴纸照片打印一体机S1 AI抠图自动裁切 AI创意生图 自动覆膜高清画质 贴纸机照片打印机 套餐三</t>
  </si>
  <si>
    <t>20260801~20260831</t>
  </si>
  <si>
    <t>20260901~20260930</t>
  </si>
  <si>
    <t>20261001~20261025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</si>
</sst>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 * #,##0_ ;_ * \-#,##0_ ;_ * &quot;-&quot;??_ ;_ @_ "/>
    <numFmt numFmtId="177" formatCode="_ * #,##0.00_ ;_ * \-#,##0.00_ ;_ * &quot;-&quot;??.00_ ;_ @_ "/>
  </numFmts>
  <fonts count="8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sz val="10"/>
      <name val="微软雅黑"/>
      <family val="2"/>
      <charset val="134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3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176" fontId="3" fillId="0" borderId="1" xfId="0" applyNumberFormat="1" applyFont="1" applyBorder="1">
      <alignment vertical="center"/>
    </xf>
    <xf numFmtId="176" fontId="3" fillId="0" borderId="4" xfId="0" applyNumberFormat="1" applyFont="1" applyBorder="1">
      <alignment vertical="center"/>
    </xf>
    <xf numFmtId="10" fontId="3" fillId="0" borderId="4" xfId="0" applyNumberFormat="1" applyFont="1" applyBorder="1">
      <alignment vertical="center"/>
    </xf>
    <xf numFmtId="43" fontId="3" fillId="0" borderId="4" xfId="0" applyNumberFormat="1" applyFont="1" applyBorder="1">
      <alignment vertical="center"/>
    </xf>
    <xf numFmtId="177" fontId="3" fillId="0" borderId="5" xfId="0" applyNumberFormat="1" applyFont="1" applyBorder="1">
      <alignment vertical="center"/>
    </xf>
    <xf numFmtId="176" fontId="3" fillId="0" borderId="6" xfId="0" applyNumberFormat="1" applyFont="1" applyBorder="1">
      <alignment vertical="center"/>
    </xf>
    <xf numFmtId="10" fontId="2" fillId="0" borderId="7" xfId="1" applyNumberFormat="1" applyFont="1" applyFill="1" applyBorder="1" applyAlignment="1"/>
    <xf numFmtId="0" fontId="3" fillId="0" borderId="8" xfId="0" applyFont="1" applyBorder="1">
      <alignment vertical="center"/>
    </xf>
    <xf numFmtId="176" fontId="3" fillId="0" borderId="8" xfId="0" applyNumberFormat="1" applyFont="1" applyBorder="1">
      <alignment vertical="center"/>
    </xf>
    <xf numFmtId="176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43" fontId="3" fillId="0" borderId="0" xfId="0" applyNumberFormat="1" applyFont="1">
      <alignment vertical="center"/>
    </xf>
    <xf numFmtId="177" fontId="3" fillId="0" borderId="9" xfId="0" applyNumberFormat="1" applyFont="1" applyBorder="1">
      <alignment vertical="center"/>
    </xf>
    <xf numFmtId="0" fontId="3" fillId="0" borderId="10" xfId="0" applyFont="1" applyBorder="1">
      <alignment vertical="center"/>
    </xf>
    <xf numFmtId="176" fontId="3" fillId="0" borderId="10" xfId="0" applyNumberFormat="1" applyFont="1" applyBorder="1">
      <alignment vertical="center"/>
    </xf>
    <xf numFmtId="176" fontId="3" fillId="0" borderId="11" xfId="0" applyNumberFormat="1" applyFont="1" applyBorder="1">
      <alignment vertical="center"/>
    </xf>
    <xf numFmtId="10" fontId="3" fillId="0" borderId="11" xfId="0" applyNumberFormat="1" applyFont="1" applyBorder="1">
      <alignment vertical="center"/>
    </xf>
    <xf numFmtId="43" fontId="3" fillId="0" borderId="11" xfId="0" applyNumberFormat="1" applyFont="1" applyBorder="1">
      <alignment vertical="center"/>
    </xf>
    <xf numFmtId="177" fontId="3" fillId="0" borderId="12" xfId="0" applyNumberFormat="1" applyFont="1" applyBorder="1">
      <alignment vertical="center"/>
    </xf>
    <xf numFmtId="0" fontId="0" fillId="0" borderId="0" xfId="0" quotePrefix="1">
      <alignment vertical="center"/>
    </xf>
    <xf numFmtId="0" fontId="4" fillId="2" borderId="1" xfId="0" applyFont="1" applyFill="1" applyBorder="1">
      <alignment vertical="center"/>
    </xf>
    <xf numFmtId="0" fontId="4" fillId="2" borderId="4" xfId="0" applyFont="1" applyFill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44" fontId="3" fillId="0" borderId="4" xfId="0" applyNumberFormat="1" applyFont="1" applyBorder="1">
      <alignment vertical="center"/>
    </xf>
    <xf numFmtId="44" fontId="3" fillId="0" borderId="0" xfId="0" applyNumberFormat="1" applyFont="1">
      <alignment vertical="center"/>
    </xf>
    <xf numFmtId="44" fontId="3" fillId="0" borderId="11" xfId="0" applyNumberFormat="1" applyFont="1" applyBorder="1">
      <alignment vertical="center"/>
    </xf>
    <xf numFmtId="44" fontId="3" fillId="0" borderId="6" xfId="2" applyFont="1" applyBorder="1">
      <alignment vertical="center"/>
    </xf>
  </cellXfs>
  <cellStyles count="3">
    <cellStyle name="百分比" xfId="1" builtinId="5"/>
    <cellStyle name="常规" xfId="0" builtinId="0"/>
    <cellStyle name="货币" xfId="2" builtinId="4"/>
  </cellStyles>
  <dxfs count="698">
    <dxf>
      <numFmt numFmtId="34" formatCode="_ &quot;¥&quot;* #,##0.00_ ;_ &quot;¥&quot;* \-#,##0.00_ ;_ &quot;¥&quot;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9" formatCode="_ * #,##0.0_ ;_ * \-#,##0.0_ ;_ * &quot;-&quot;??_ ;_ @_ "/>
    </dxf>
    <dxf>
      <numFmt numFmtId="179" formatCode="_ * #,##0.0_ ;_ * \-#,##0.0_ ;_ * &quot;-&quot;??_ ;_ @_ "/>
    </dxf>
    <dxf>
      <numFmt numFmtId="179" formatCode="_ * #,##0.0_ ;_ * \-#,##0.0_ ;_ * &quot;-&quot;??_ ;_ @_ "/>
    </dxf>
    <dxf>
      <numFmt numFmtId="179" formatCode="_ * #,##0.0_ ;_ * \-#,##0.0_ ;_ * &quot;-&quot;??_ ;_ @_ "/>
    </dxf>
    <dxf>
      <numFmt numFmtId="179" formatCode="_ * #,##0.0_ ;_ * \-#,##0.0_ ;_ * &quot;-&quot;??_ ;_ @_ "/>
    </dxf>
    <dxf>
      <numFmt numFmtId="179" formatCode="_ * #,##0.0_ ;_ * \-#,##0.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4" formatCode="0.00%"/>
    </dxf>
    <dxf>
      <numFmt numFmtId="35" formatCode="_ * #,##0.00_ ;_ * \-#,##0.00_ ;_ * &quot;-&quot;??_ ;_ @_ "/>
    </dxf>
    <dxf>
      <numFmt numFmtId="179" formatCode="_ * #,##0.0_ ;_ * \-#,##0.0_ ;_ * &quot;-&quot;??_ ;_ @_ "/>
    </dxf>
    <dxf>
      <numFmt numFmtId="176" formatCode="_ * #,##0_ ;_ * \-#,##0_ ;_ * &quot;-&quot;??_ ;_ @_ "/>
    </dxf>
    <dxf>
      <numFmt numFmtId="178" formatCode="_ * #,##0.0_ ;_ * \-#,##0.0_ ;_ * &quot;-&quot;??.0_ ;_ @_ "/>
    </dxf>
    <dxf>
      <numFmt numFmtId="177" formatCode="_ * #,##0.00_ ;_ * \-#,##0.00_ ;_ * &quot;-&quot;??.00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none"/>
      </fill>
    </dxf>
    <dxf>
      <font>
        <color auto="1"/>
      </font>
    </dxf>
    <dxf>
      <font>
        <name val="微软雅黑"/>
        <scheme val="none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4" formatCode="_ &quot;¥&quot;* #,##0.00_ ;_ &quot;¥&quot;* \-#,##0.00_ ;_ &quot;¥&quot;* &quot;-&quot;??_ ;_ @_ "/>
    </dxf>
    <dxf>
      <numFmt numFmtId="34" formatCode="_ &quot;¥&quot;* #,##0.00_ ;_ &quot;¥&quot;* \-#,##0.00_ ;_ &quot;¥&quot;* &quot;-&quot;??_ ;_ @_ "/>
    </dxf>
    <dxf>
      <numFmt numFmtId="34" formatCode="_ &quot;¥&quot;* #,##0.00_ ;_ &quot;¥&quot;* \-#,##0.00_ ;_ &quot;¥&quot;* &quot;-&quot;??_ ;_ @_ "/>
    </dxf>
    <dxf>
      <numFmt numFmtId="34" formatCode="_ &quot;¥&quot;* #,##0.00_ ;_ &quot;¥&quot;* \-#,##0.00_ ;_ &quot;¥&quot;* &quot;-&quot;??_ ;_ @_ "/>
    </dxf>
    <dxf>
      <numFmt numFmtId="34" formatCode="_ &quot;¥&quot;* #,##0.00_ ;_ &quot;¥&quot;* \-#,##0.00_ ;_ &quot;¥&quot;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9" formatCode="_ * #,##0.0_ ;_ * \-#,##0.0_ ;_ * &quot;-&quot;??_ ;_ @_ "/>
    </dxf>
    <dxf>
      <numFmt numFmtId="179" formatCode="_ * #,##0.0_ ;_ * \-#,##0.0_ ;_ * &quot;-&quot;??_ ;_ @_ "/>
    </dxf>
    <dxf>
      <numFmt numFmtId="179" formatCode="_ * #,##0.0_ ;_ * \-#,##0.0_ ;_ * &quot;-&quot;??_ ;_ @_ "/>
    </dxf>
    <dxf>
      <numFmt numFmtId="179" formatCode="_ * #,##0.0_ ;_ * \-#,##0.0_ ;_ * &quot;-&quot;??_ ;_ @_ "/>
    </dxf>
    <dxf>
      <numFmt numFmtId="179" formatCode="_ * #,##0.0_ ;_ * \-#,##0.0_ ;_ * &quot;-&quot;??_ ;_ @_ "/>
    </dxf>
    <dxf>
      <numFmt numFmtId="179" formatCode="_ * #,##0.0_ ;_ * \-#,##0.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4" formatCode="0.00%"/>
    </dxf>
    <dxf>
      <numFmt numFmtId="35" formatCode="_ * #,##0.00_ ;_ * \-#,##0.00_ ;_ * &quot;-&quot;??_ ;_ @_ "/>
    </dxf>
    <dxf>
      <numFmt numFmtId="179" formatCode="_ * #,##0.0_ ;_ * \-#,##0.0_ ;_ * &quot;-&quot;??_ ;_ @_ "/>
    </dxf>
    <dxf>
      <numFmt numFmtId="176" formatCode="_ * #,##0_ ;_ * \-#,##0_ ;_ * &quot;-&quot;??_ ;_ @_ "/>
    </dxf>
    <dxf>
      <numFmt numFmtId="178" formatCode="_ * #,##0.0_ ;_ * \-#,##0.0_ ;_ * &quot;-&quot;??.0_ ;_ @_ "/>
    </dxf>
    <dxf>
      <numFmt numFmtId="177" formatCode="_ * #,##0.00_ ;_ * \-#,##0.00_ ;_ * &quot;-&quot;??.00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none"/>
      </fill>
    </dxf>
    <dxf>
      <font>
        <color auto="1"/>
      </font>
    </dxf>
    <dxf>
      <font>
        <name val="微软雅黑"/>
        <scheme val="none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4" formatCode="_ &quot;¥&quot;* #,##0.00_ ;_ &quot;¥&quot;* \-#,##0.00_ ;_ &quot;¥&quot;* &quot;-&quot;??_ ;_ @_ "/>
    </dxf>
    <dxf>
      <numFmt numFmtId="34" formatCode="_ &quot;¥&quot;* #,##0.00_ ;_ &quot;¥&quot;* \-#,##0.00_ ;_ &quot;¥&quot;* &quot;-&quot;??_ ;_ @_ "/>
    </dxf>
    <dxf>
      <numFmt numFmtId="34" formatCode="_ &quot;¥&quot;* #,##0.00_ ;_ &quot;¥&quot;* \-#,##0.00_ ;_ &quot;¥&quot;* &quot;-&quot;??_ ;_ @_ "/>
    </dxf>
    <dxf>
      <numFmt numFmtId="34" formatCode="_ &quot;¥&quot;* #,##0.00_ ;_ &quot;¥&quot;* \-#,##0.00_ ;_ &quot;¥&quot;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9" formatCode="_ * #,##0.0_ ;_ * \-#,##0.0_ ;_ * &quot;-&quot;??_ ;_ @_ "/>
    </dxf>
    <dxf>
      <numFmt numFmtId="179" formatCode="_ * #,##0.0_ ;_ * \-#,##0.0_ ;_ * &quot;-&quot;??_ ;_ @_ "/>
    </dxf>
    <dxf>
      <numFmt numFmtId="179" formatCode="_ * #,##0.0_ ;_ * \-#,##0.0_ ;_ * &quot;-&quot;??_ ;_ @_ "/>
    </dxf>
    <dxf>
      <numFmt numFmtId="179" formatCode="_ * #,##0.0_ ;_ * \-#,##0.0_ ;_ * &quot;-&quot;??_ ;_ @_ "/>
    </dxf>
    <dxf>
      <numFmt numFmtId="179" formatCode="_ * #,##0.0_ ;_ * \-#,##0.0_ ;_ * &quot;-&quot;??_ ;_ @_ "/>
    </dxf>
    <dxf>
      <numFmt numFmtId="179" formatCode="_ * #,##0.0_ ;_ * \-#,##0.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4" formatCode="0.00%"/>
    </dxf>
    <dxf>
      <numFmt numFmtId="35" formatCode="_ * #,##0.00_ ;_ * \-#,##0.00_ ;_ * &quot;-&quot;??_ ;_ @_ "/>
    </dxf>
    <dxf>
      <numFmt numFmtId="179" formatCode="_ * #,##0.0_ ;_ * \-#,##0.0_ ;_ * &quot;-&quot;??_ ;_ @_ "/>
    </dxf>
    <dxf>
      <numFmt numFmtId="176" formatCode="_ * #,##0_ ;_ * \-#,##0_ ;_ * &quot;-&quot;??_ ;_ @_ "/>
    </dxf>
    <dxf>
      <numFmt numFmtId="178" formatCode="_ * #,##0.0_ ;_ * \-#,##0.0_ ;_ * &quot;-&quot;??.0_ ;_ @_ "/>
    </dxf>
    <dxf>
      <numFmt numFmtId="177" formatCode="_ * #,##0.00_ ;_ * \-#,##0.00_ ;_ * &quot;-&quot;??.00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none"/>
      </fill>
    </dxf>
    <dxf>
      <font>
        <color auto="1"/>
      </font>
    </dxf>
    <dxf>
      <font>
        <name val="微软雅黑"/>
        <scheme val="none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4" formatCode="_ &quot;¥&quot;* #,##0.00_ ;_ &quot;¥&quot;* \-#,##0.00_ ;_ &quot;¥&quot;* &quot;-&quot;??_ ;_ @_ "/>
    </dxf>
    <dxf>
      <numFmt numFmtId="34" formatCode="_ &quot;¥&quot;* #,##0.00_ ;_ &quot;¥&quot;* \-#,##0.00_ ;_ &quot;¥&quot;* &quot;-&quot;??_ ;_ @_ "/>
    </dxf>
    <dxf>
      <numFmt numFmtId="34" formatCode="_ &quot;¥&quot;* #,##0.00_ ;_ &quot;¥&quot;* \-#,##0.00_ ;_ &quot;¥&quot;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9" formatCode="_ * #,##0.0_ ;_ * \-#,##0.0_ ;_ * &quot;-&quot;??_ ;_ @_ "/>
    </dxf>
    <dxf>
      <numFmt numFmtId="179" formatCode="_ * #,##0.0_ ;_ * \-#,##0.0_ ;_ * &quot;-&quot;??_ ;_ @_ "/>
    </dxf>
    <dxf>
      <numFmt numFmtId="179" formatCode="_ * #,##0.0_ ;_ * \-#,##0.0_ ;_ * &quot;-&quot;??_ ;_ @_ "/>
    </dxf>
    <dxf>
      <numFmt numFmtId="179" formatCode="_ * #,##0.0_ ;_ * \-#,##0.0_ ;_ * &quot;-&quot;??_ ;_ @_ "/>
    </dxf>
    <dxf>
      <numFmt numFmtId="179" formatCode="_ * #,##0.0_ ;_ * \-#,##0.0_ ;_ * &quot;-&quot;??_ ;_ @_ "/>
    </dxf>
    <dxf>
      <numFmt numFmtId="179" formatCode="_ * #,##0.0_ ;_ * \-#,##0.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4" formatCode="0.00%"/>
    </dxf>
    <dxf>
      <numFmt numFmtId="35" formatCode="_ * #,##0.00_ ;_ * \-#,##0.00_ ;_ * &quot;-&quot;??_ ;_ @_ "/>
    </dxf>
    <dxf>
      <numFmt numFmtId="179" formatCode="_ * #,##0.0_ ;_ * \-#,##0.0_ ;_ * &quot;-&quot;??_ ;_ @_ "/>
    </dxf>
    <dxf>
      <numFmt numFmtId="176" formatCode="_ * #,##0_ ;_ * \-#,##0_ ;_ * &quot;-&quot;??_ ;_ @_ "/>
    </dxf>
    <dxf>
      <numFmt numFmtId="178" formatCode="_ * #,##0.0_ ;_ * \-#,##0.0_ ;_ * &quot;-&quot;??.0_ ;_ @_ "/>
    </dxf>
    <dxf>
      <numFmt numFmtId="177" formatCode="_ * #,##0.00_ ;_ * \-#,##0.00_ ;_ * &quot;-&quot;??.00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none"/>
      </fill>
    </dxf>
    <dxf>
      <font>
        <color auto="1"/>
      </font>
    </dxf>
    <dxf>
      <font>
        <name val="微软雅黑"/>
        <scheme val="none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4" formatCode="_ &quot;¥&quot;* #,##0.00_ ;_ &quot;¥&quot;* \-#,##0.00_ ;_ &quot;¥&quot;* &quot;-&quot;??_ ;_ @_ "/>
    </dxf>
    <dxf>
      <numFmt numFmtId="34" formatCode="_ &quot;¥&quot;* #,##0.00_ ;_ &quot;¥&quot;* \-#,##0.00_ ;_ &quot;¥&quot;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9" formatCode="_ * #,##0.0_ ;_ * \-#,##0.0_ ;_ * &quot;-&quot;??_ ;_ @_ "/>
    </dxf>
    <dxf>
      <numFmt numFmtId="179" formatCode="_ * #,##0.0_ ;_ * \-#,##0.0_ ;_ * &quot;-&quot;??_ ;_ @_ "/>
    </dxf>
    <dxf>
      <numFmt numFmtId="179" formatCode="_ * #,##0.0_ ;_ * \-#,##0.0_ ;_ * &quot;-&quot;??_ ;_ @_ "/>
    </dxf>
    <dxf>
      <numFmt numFmtId="179" formatCode="_ * #,##0.0_ ;_ * \-#,##0.0_ ;_ * &quot;-&quot;??_ ;_ @_ "/>
    </dxf>
    <dxf>
      <numFmt numFmtId="179" formatCode="_ * #,##0.0_ ;_ * \-#,##0.0_ ;_ * &quot;-&quot;??_ ;_ @_ "/>
    </dxf>
    <dxf>
      <numFmt numFmtId="179" formatCode="_ * #,##0.0_ ;_ * \-#,##0.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4" formatCode="0.00%"/>
    </dxf>
    <dxf>
      <numFmt numFmtId="35" formatCode="_ * #,##0.00_ ;_ * \-#,##0.00_ ;_ * &quot;-&quot;??_ ;_ @_ "/>
    </dxf>
    <dxf>
      <numFmt numFmtId="179" formatCode="_ * #,##0.0_ ;_ * \-#,##0.0_ ;_ * &quot;-&quot;??_ ;_ @_ "/>
    </dxf>
    <dxf>
      <numFmt numFmtId="176" formatCode="_ * #,##0_ ;_ * \-#,##0_ ;_ * &quot;-&quot;??_ ;_ @_ "/>
    </dxf>
    <dxf>
      <numFmt numFmtId="178" formatCode="_ * #,##0.0_ ;_ * \-#,##0.0_ ;_ * &quot;-&quot;??.0_ ;_ @_ "/>
    </dxf>
    <dxf>
      <numFmt numFmtId="177" formatCode="_ * #,##0.00_ ;_ * \-#,##0.00_ ;_ * &quot;-&quot;??.00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none"/>
      </fill>
    </dxf>
    <dxf>
      <font>
        <color auto="1"/>
      </font>
    </dxf>
    <dxf>
      <font>
        <name val="微软雅黑"/>
        <scheme val="none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name val="微软雅黑"/>
        <scheme val="none"/>
      </font>
    </dxf>
    <dxf>
      <font>
        <color auto="1"/>
      </font>
    </dxf>
    <dxf>
      <fill>
        <patternFill patternType="none"/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77" formatCode="_ * #,##0.00_ ;_ * \-#,##0.00_ ;_ * &quot;-&quot;??.00_ ;_ @_ "/>
    </dxf>
    <dxf>
      <numFmt numFmtId="178" formatCode="_ * #,##0.0_ ;_ * \-#,##0.0_ ;_ * &quot;-&quot;??.0_ ;_ @_ "/>
    </dxf>
    <dxf>
      <numFmt numFmtId="176" formatCode="_ * #,##0_ ;_ * \-#,##0_ ;_ * &quot;-&quot;??_ ;_ @_ "/>
    </dxf>
    <dxf>
      <numFmt numFmtId="179" formatCode="_ * #,##0.0_ ;_ * \-#,##0.0_ ;_ * &quot;-&quot;??_ ;_ @_ "/>
    </dxf>
    <dxf>
      <numFmt numFmtId="35" formatCode="_ * #,##0.00_ ;_ * \-#,##0.00_ ;_ * &quot;-&quot;??_ ;_ @_ "/>
    </dxf>
    <dxf>
      <numFmt numFmtId="14" formatCode="0.00%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9" formatCode="_ * #,##0.0_ ;_ * \-#,##0.0_ ;_ * &quot;-&quot;??_ ;_ @_ "/>
    </dxf>
    <dxf>
      <numFmt numFmtId="179" formatCode="_ * #,##0.0_ ;_ * \-#,##0.0_ ;_ * &quot;-&quot;??_ ;_ @_ "/>
    </dxf>
    <dxf>
      <numFmt numFmtId="179" formatCode="_ * #,##0.0_ ;_ * \-#,##0.0_ ;_ * &quot;-&quot;??_ ;_ @_ "/>
    </dxf>
    <dxf>
      <numFmt numFmtId="179" formatCode="_ * #,##0.0_ ;_ * \-#,##0.0_ ;_ * &quot;-&quot;??_ ;_ @_ "/>
    </dxf>
    <dxf>
      <numFmt numFmtId="179" formatCode="_ * #,##0.0_ ;_ * \-#,##0.0_ ;_ * &quot;-&quot;??_ ;_ @_ "/>
    </dxf>
    <dxf>
      <numFmt numFmtId="179" formatCode="_ * #,##0.0_ ;_ * \-#,##0.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97"/>
      <tableStyleElement type="headerRow" dxfId="696"/>
      <tableStyleElement type="totalRow" dxfId="695"/>
      <tableStyleElement type="firstColumn" dxfId="694"/>
      <tableStyleElement type="lastColumn" dxfId="693"/>
      <tableStyleElement type="firstRowStripe" dxfId="692"/>
      <tableStyleElement type="firstColumnStripe" dxfId="691"/>
    </tableStyle>
    <tableStyle name="PivotStylePreset2_Accent1" table="0" count="10" xr9:uid="{267968C8-6FFD-4C36-ACC1-9EA1FD1885CA}">
      <tableStyleElement type="headerRow" dxfId="690"/>
      <tableStyleElement type="totalRow" dxfId="689"/>
      <tableStyleElement type="firstRowStripe" dxfId="688"/>
      <tableStyleElement type="firstColumnStripe" dxfId="687"/>
      <tableStyleElement type="firstSubtotalRow" dxfId="686"/>
      <tableStyleElement type="secondSubtotalRow" dxfId="685"/>
      <tableStyleElement type="firstRowSubheading" dxfId="684"/>
      <tableStyleElement type="secondRowSubheading" dxfId="683"/>
      <tableStyleElement type="pageFieldLabels" dxfId="682"/>
      <tableStyleElement type="pageFieldValues" dxfId="681"/>
    </tableStyle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15765" refreshedDate="46321.625879629602" createdVersion="5" refreshedVersion="5" minRefreshableVersion="3" recordCount="123" xr:uid="{00000000-000A-0000-FFFF-FFFF00000000}">
  <cacheSource type="worksheet">
    <worksheetSource ref="A1:Y1048576" sheet="明细表"/>
  </cacheSource>
  <cacheFields count="30">
    <cacheField name="日期" numFmtId="0">
      <sharedItems containsBlank="1" count="11">
        <s v="20260101~20260131"/>
        <s v="20260201~20260228"/>
        <s v="20260301~20260331"/>
        <s v="20260401~20260430"/>
        <s v="20260501~20260531"/>
        <s v="20260601~20260630"/>
        <s v="20260701~20260731"/>
        <s v="20260801~20260831"/>
        <s v="20260901~20260930"/>
        <s v="20261001~20261025"/>
        <m/>
      </sharedItems>
    </cacheField>
    <cacheField name="跟单SKU ID" numFmtId="0">
      <sharedItems containsBlank="1" count="20">
        <s v="100161035463"/>
        <s v="100205890794"/>
        <s v="100239100699"/>
        <s v="100319058168"/>
        <s v="100037857283"/>
        <s v="100037857281"/>
        <s v="100075320109"/>
        <s v="100323754754"/>
        <s v="100248592873"/>
        <s v="100334198866"/>
        <s v="100277553457"/>
        <s v="100295684175"/>
        <s v="100211353388"/>
        <s v="100164677423"/>
        <s v="100137956804"/>
        <s v="100137958440"/>
        <s v="100137956772"/>
        <s v="100392741024"/>
        <s v="100301996285"/>
        <m/>
      </sharedItems>
    </cacheField>
    <cacheField name="跟单SKU名称" numFmtId="0">
      <sharedItems containsBlank="1" count="20">
        <s v="极印手机照片打印机N2无线家用彩印电源版 自动覆膜高清画质 支持3英寸/6英寸 即拍即印相片打印机_x0009_"/>
        <s v="极印手机照片打印机N2无线家用彩印移动版 自动覆膜高清画质 支持3英寸/6英寸 即拍即印相片打印机_x0009_"/>
        <s v="极印口袋照片打印机N3 拍立得 热升华高清打印 AI写真 个性水印 便携式蓝牙无线连接相片打印机 礼物金"/>
        <s v="极印口袋照片打印机N3 拍立得 热升华高清打印 AI写真 个性水印 便携式蓝牙无线连接相片打印机 礼物紫"/>
        <s v="极印口袋照片打印机手机拍立得 AR视频留声无线蓝牙 家用便携无墨 相片打印机 云朵白ZPP110 节日礼物"/>
        <s v="极印口袋照片打印机手机拍立得 AR视频留声无线蓝牙 家用便携无墨 相片打印机 樱花粉ZPP110 节日礼物"/>
        <s v="极印口袋照片打印机手机拍立得 AR视频留声无线蓝牙 家用便携无墨 相片打印机 薄荷绿ZPP110 节日礼物"/>
        <s v="极印口袋照片打印机N3 拍立得 热升华高清打印 AI写真 个性水印 便携式蓝牙无线连接相片打印机 套装紫"/>
        <s v="极印AI贴纸照片打印一体机S1 AI抠图自动裁切 AI创意生图 自动覆膜高清画质 贴纸机照片打印机"/>
        <s v="极印口袋照片打印机N3 拍立得 热升华高清打印 AI写真 个性水印 便携式蓝牙无线连接相片打印机 套装金"/>
        <s v="极印口袋照片打印机N3京东独家礼盒  拍立得热升华高清画质AI写真个性水印便携式蓝牙相片打印礼物"/>
        <s v="极印AI贴纸照片打印一体机S1 AI抠图自动裁切 AI创意生图 自动覆膜高清画质 贴纸机照片打印机 套餐三"/>
        <s v="极印照片打印机N2无线家用彩印电源版 手机即拍即印相片打印机  组套【标配+2盒相纸色带耗材】"/>
        <s v="极印照片打印机N2无线家用彩印移动版 手机即拍即印相片打印机 组套【标配+2盒相纸色带耗材】"/>
        <s v="极印口袋照片打印机 手机即拍即印AR视频留声无线蓝牙相片打印机 云朵白ZPP110+1盒耗材【组套装】"/>
        <s v="极印口袋照片打印机 手机即拍即印AR视频留声无线蓝牙相片打印机 薄荷绿ZPP110+1盒耗材【组套装】"/>
        <s v="极印口袋照片打印机 手机即拍即印AR视频留声无线蓝牙相片打印机 樱花粉ZPP110+1盒耗材【组套装】"/>
        <s v="极印AI贴纸照片打印一体机S1 AI抠图自动裁切 AI创意生图 自动覆膜高清画质 贴纸机照片打印机套餐一"/>
        <s v="极印AI贴纸照片打印一体机S1 AI抠图自动裁切 AI创意生图 自动覆膜高清画质 贴纸机照片打印机 套餐二"/>
        <m/>
      </sharedItems>
    </cacheField>
    <cacheField name="型号" numFmtId="0">
      <sharedItems containsBlank="1" count="5">
        <s v="N2"/>
        <s v="N3"/>
        <s v="N1"/>
        <s v="S1"/>
        <m/>
      </sharedItems>
    </cacheField>
    <cacheField name="展现数" numFmtId="0">
      <sharedItems containsString="0" containsBlank="1" containsNumber="1" containsInteger="1" minValue="0" maxValue="2310151" count="123">
        <n v="80039"/>
        <n v="60599"/>
        <n v="35528"/>
        <n v="18304"/>
        <n v="13774"/>
        <n v="8197"/>
        <n v="324"/>
        <n v="97795"/>
        <n v="52227"/>
        <n v="38386"/>
        <n v="31461"/>
        <n v="14386"/>
        <n v="7531"/>
        <n v="6625"/>
        <n v="797"/>
        <n v="821793"/>
        <n v="109934"/>
        <n v="60154"/>
        <n v="32292"/>
        <n v="17848"/>
        <n v="16042"/>
        <n v="15748"/>
        <n v="11367"/>
        <n v="4819"/>
        <n v="2310151"/>
        <n v="91611"/>
        <n v="42734"/>
        <n v="1980"/>
        <n v="939"/>
        <n v="707"/>
        <n v="678"/>
        <n v="659"/>
        <n v="443"/>
        <n v="1575677"/>
        <n v="128353"/>
        <n v="53623"/>
        <n v="21082"/>
        <n v="11750"/>
        <n v="11220"/>
        <n v="9556"/>
        <n v="8968"/>
        <n v="5907"/>
        <n v="484463"/>
        <n v="147967"/>
        <n v="50792"/>
        <n v="25716"/>
        <n v="22310"/>
        <n v="18859"/>
        <n v="18476"/>
        <n v="15300"/>
        <n v="10188"/>
        <n v="6677"/>
        <n v="5564"/>
        <n v="301075"/>
        <n v="129329"/>
        <n v="59021"/>
        <n v="19229"/>
        <n v="16696"/>
        <n v="13730"/>
        <n v="11951"/>
        <n v="10593"/>
        <n v="8218"/>
        <n v="6358"/>
        <n v="5399"/>
        <n v="1066"/>
        <n v="816"/>
        <n v="469"/>
        <n v="196"/>
        <n v="82"/>
        <n v="77"/>
        <n v="336613"/>
        <n v="166788"/>
        <n v="79049"/>
        <n v="27032"/>
        <n v="12622"/>
        <n v="11184"/>
        <n v="8831"/>
        <n v="8821"/>
        <n v="6961"/>
        <n v="6936"/>
        <n v="6651"/>
        <n v="4887"/>
        <n v="3970"/>
        <n v="3803"/>
        <n v="318"/>
        <n v="147"/>
        <n v="79"/>
        <n v="394882"/>
        <n v="183832"/>
        <n v="107415"/>
        <n v="21334"/>
        <n v="12860"/>
        <n v="9659"/>
        <n v="8805"/>
        <n v="7338"/>
        <n v="6001"/>
        <n v="5747"/>
        <n v="4814"/>
        <n v="1859"/>
        <n v="1815"/>
        <n v="935"/>
        <n v="725"/>
        <n v="385"/>
        <n v="502896"/>
        <n v="243872"/>
        <n v="97977"/>
        <n v="23933"/>
        <n v="14020"/>
        <n v="13832"/>
        <n v="8652"/>
        <n v="6388"/>
        <n v="6050"/>
        <n v="5446"/>
        <n v="4802"/>
        <n v="2848"/>
        <n v="2259"/>
        <n v="1969"/>
        <n v="1834"/>
        <n v="1313"/>
        <n v="1021"/>
        <n v="812"/>
        <n v="563"/>
        <m/>
      </sharedItems>
    </cacheField>
    <cacheField name="点击数" numFmtId="0">
      <sharedItems containsString="0" containsBlank="1" containsNumber="1" containsInteger="1" minValue="0" maxValue="35131" count="114">
        <n v="7411"/>
        <n v="3784"/>
        <n v="1384"/>
        <n v="726"/>
        <n v="593"/>
        <n v="325"/>
        <n v="13"/>
        <n v="8987"/>
        <n v="3788"/>
        <n v="2221"/>
        <n v="1916"/>
        <n v="467"/>
        <n v="174"/>
        <n v="255"/>
        <n v="125"/>
        <n v="11048"/>
        <n v="10409"/>
        <n v="4438"/>
        <n v="1707"/>
        <n v="919"/>
        <n v="468"/>
        <n v="619"/>
        <n v="254"/>
        <n v="32212"/>
        <n v="8365"/>
        <n v="2696"/>
        <n v="94"/>
        <n v="29"/>
        <n v="20"/>
        <n v="15"/>
        <n v="21"/>
        <n v="12"/>
        <n v="35131"/>
        <n v="13206"/>
        <n v="3789"/>
        <n v="1024"/>
        <n v="453"/>
        <n v="353"/>
        <n v="333"/>
        <n v="266"/>
        <n v="167"/>
        <n v="15723"/>
        <n v="12574"/>
        <n v="3538"/>
        <n v="1207"/>
        <n v="1452"/>
        <n v="614"/>
        <n v="806"/>
        <n v="484"/>
        <n v="294"/>
        <n v="213"/>
        <n v="161"/>
        <n v="10230"/>
        <n v="7452"/>
        <n v="3212"/>
        <n v="1004"/>
        <n v="766"/>
        <n v="591"/>
        <n v="127"/>
        <n v="460"/>
        <n v="263"/>
        <n v="180"/>
        <n v="124"/>
        <n v="28"/>
        <n v="17"/>
        <n v="11"/>
        <n v="4"/>
        <n v="1"/>
        <n v="0"/>
        <n v="10807"/>
        <n v="7300"/>
        <n v="3223"/>
        <n v="656"/>
        <n v="557"/>
        <n v="400"/>
        <n v="211"/>
        <n v="454"/>
        <n v="140"/>
        <n v="169"/>
        <n v="88"/>
        <n v="105"/>
        <n v="99"/>
        <n v="12841"/>
        <n v="7894"/>
        <n v="4267"/>
        <n v="1001"/>
        <n v="524"/>
        <n v="357"/>
        <n v="206"/>
        <n v="204"/>
        <n v="219"/>
        <n v="98"/>
        <n v="25"/>
        <n v="32"/>
        <n v="5"/>
        <n v="6"/>
        <n v="15849"/>
        <n v="11096"/>
        <n v="3650"/>
        <n v="1033"/>
        <n v="479"/>
        <n v="297"/>
        <n v="222"/>
        <n v="172"/>
        <n v="289"/>
        <n v="129"/>
        <n v="41"/>
        <n v="50"/>
        <n v="42"/>
        <n v="19"/>
        <n v="46"/>
        <n v="7"/>
        <n v="8"/>
        <m/>
      </sharedItems>
    </cacheField>
    <cacheField name="点击率(%)" numFmtId="0">
      <sharedItems containsString="0" containsBlank="1" containsNumber="1" minValue="0" maxValue="15.68" count="107">
        <n v="9.26"/>
        <n v="6.24"/>
        <n v="3.9"/>
        <n v="3.97"/>
        <n v="4.3099999999999996"/>
        <n v="3.96"/>
        <n v="4.01"/>
        <n v="9.19"/>
        <n v="7.25"/>
        <n v="5.79"/>
        <n v="6.09"/>
        <n v="3.25"/>
        <n v="2.31"/>
        <n v="3.85"/>
        <n v="15.68"/>
        <n v="1.34"/>
        <n v="9.4700000000000006"/>
        <n v="7.38"/>
        <n v="5.29"/>
        <n v="5.15"/>
        <n v="2.92"/>
        <n v="3.93"/>
        <n v="2.23"/>
        <n v="2.59"/>
        <n v="1.39"/>
        <n v="9.1300000000000008"/>
        <n v="6.31"/>
        <n v="4.75"/>
        <n v="3.09"/>
        <n v="2.83"/>
        <n v="2.21"/>
        <n v="3.19"/>
        <n v="2.71"/>
        <n v="10.29"/>
        <n v="7.07"/>
        <n v="4.8600000000000003"/>
        <n v="3.86"/>
        <n v="3.15"/>
        <n v="3.48"/>
        <n v="2.97"/>
        <n v="8.5"/>
        <n v="6.97"/>
        <n v="4.6900000000000004"/>
        <n v="6.51"/>
        <n v="3.26"/>
        <n v="4.3600000000000003"/>
        <n v="3.16"/>
        <n v="2.89"/>
        <n v="3.4"/>
        <n v="5.76"/>
        <n v="5.44"/>
        <n v="5.22"/>
        <n v="4.59"/>
        <n v="4.3"/>
        <n v="1.06"/>
        <n v="4.34"/>
        <n v="3.2"/>
        <n v="2.2999999999999998"/>
        <n v="2.63"/>
        <n v="2.08"/>
        <n v="2.35"/>
        <n v="2.04"/>
        <n v="1.22"/>
        <n v="0"/>
        <n v="3.21"/>
        <n v="4.38"/>
        <n v="4.08"/>
        <n v="2.4300000000000002"/>
        <n v="4.41"/>
        <n v="3.58"/>
        <n v="2.39"/>
        <n v="2.0099999999999998"/>
        <n v="2.6"/>
        <n v="2.54"/>
        <n v="1.8"/>
        <n v="2.64"/>
        <n v="1.26"/>
        <n v="2.72"/>
        <n v="4.29"/>
        <n v="4.07"/>
        <n v="3.7"/>
        <n v="2.34"/>
        <n v="2.78"/>
        <n v="3.65"/>
        <n v="3.13"/>
        <n v="1.76"/>
        <n v="1.18"/>
        <n v="0.69"/>
        <n v="1.56"/>
        <n v="4.55"/>
        <n v="3.73"/>
        <n v="4.32"/>
        <n v="3.42"/>
        <n v="2.15"/>
        <n v="2.57"/>
        <n v="2.69"/>
        <n v="4.78"/>
        <n v="2.37"/>
        <n v="0.85"/>
        <n v="1.86"/>
        <n v="0.96"/>
        <n v="2.5099999999999998"/>
        <n v="1.45"/>
        <n v="1.08"/>
        <n v="0.86"/>
        <n v="1.42"/>
        <m/>
      </sharedItems>
    </cacheField>
    <cacheField name="花费" numFmtId="0">
      <sharedItems containsString="0" containsBlank="1" containsNumber="1" minValue="0" maxValue="65801.78" count="122">
        <n v="23932.16"/>
        <n v="11486.44"/>
        <n v="5143.16"/>
        <n v="2608.4299999999998"/>
        <n v="1082.1300000000001"/>
        <n v="510.87"/>
        <n v="18.399999999999999"/>
        <n v="22315.34"/>
        <n v="10123.32"/>
        <n v="6860.95"/>
        <n v="7216.62"/>
        <n v="737.75"/>
        <n v="343.65"/>
        <n v="417.92"/>
        <n v="587.16999999999996"/>
        <n v="23535.45"/>
        <n v="24509.71"/>
        <n v="9852.4500000000007"/>
        <n v="4789.12"/>
        <n v="3500.08"/>
        <n v="926.68"/>
        <n v="1216"/>
        <n v="468.64"/>
        <n v="445.55"/>
        <n v="61807.53"/>
        <n v="18748.78"/>
        <n v="6444.35"/>
        <n v="311.2"/>
        <n v="98.55"/>
        <n v="66.19"/>
        <n v="55.81"/>
        <n v="71.25"/>
        <n v="47.45"/>
        <n v="65801.78"/>
        <n v="37360.06"/>
        <n v="12214.98"/>
        <n v="2549.3200000000002"/>
        <n v="616.55999999999995"/>
        <n v="1080.9100000000001"/>
        <n v="516.58000000000004"/>
        <n v="620.21"/>
        <n v="172.33"/>
        <n v="34589.85"/>
        <n v="32380.21"/>
        <n v="12207.87"/>
        <n v="1920.52"/>
        <n v="591.07000000000005"/>
        <n v="1174.07"/>
        <n v="799.36"/>
        <n v="410.96"/>
        <n v="476.27"/>
        <n v="416.88"/>
        <n v="310.42"/>
        <n v="22545.75"/>
        <n v="16092.09"/>
        <n v="7922.04"/>
        <n v="366.3"/>
        <n v="1076.96"/>
        <n v="999.01"/>
        <n v="168.37"/>
        <n v="589.77"/>
        <n v="164.53"/>
        <n v="195.93"/>
        <n v="172.3"/>
        <n v="52.29"/>
        <n v="40.409999999999997"/>
        <n v="24.29"/>
        <n v="11.41"/>
        <n v="1.22"/>
        <n v="0"/>
        <n v="28948.05"/>
        <n v="17908.580000000002"/>
        <n v="9245.24"/>
        <n v="1529.73"/>
        <n v="1135.1500000000001"/>
        <n v="356.35"/>
        <n v="708.37"/>
        <n v="1282.45"/>
        <n v="190.62"/>
        <n v="566.03"/>
        <n v="240.81"/>
        <n v="271.24"/>
        <n v="515.07000000000005"/>
        <n v="379.06"/>
        <n v="14.75"/>
        <n v="12.14"/>
        <n v="32993.160000000003"/>
        <n v="16743.599999999999"/>
        <n v="11546.81"/>
        <n v="687.33"/>
        <n v="949.09"/>
        <n v="1086.0999999999999"/>
        <n v="537.52"/>
        <n v="311.12"/>
        <n v="383.89"/>
        <n v="456.28"/>
        <n v="320.41000000000003"/>
        <n v="52.92"/>
        <n v="105.81"/>
        <n v="26.4"/>
        <n v="8.24"/>
        <n v="9.9"/>
        <n v="33933.230000000003"/>
        <n v="21399.39"/>
        <n v="9071.75"/>
        <n v="712.4"/>
        <n v="1198.22"/>
        <n v="539.91"/>
        <n v="369.37"/>
        <n v="533.55999999999995"/>
        <n v="1021.99"/>
        <n v="450.62"/>
        <n v="104.36"/>
        <n v="144.06"/>
        <n v="89.42"/>
        <n v="77.12"/>
        <n v="95.51"/>
        <n v="71.87"/>
        <n v="46.67"/>
        <n v="24.64"/>
        <n v="16.149999999999999"/>
        <m/>
      </sharedItems>
    </cacheField>
    <cacheField name="千次展现成本" numFmtId="0">
      <sharedItems containsString="0" containsBlank="1" containsNumber="1" minValue="0" maxValue="736.73" count="122">
        <n v="299.01"/>
        <n v="189.55"/>
        <n v="144.76"/>
        <n v="142.51"/>
        <n v="78.56"/>
        <n v="62.32"/>
        <n v="56.79"/>
        <n v="228.18"/>
        <n v="193.83"/>
        <n v="178.74"/>
        <n v="229.38"/>
        <n v="51.28"/>
        <n v="45.63"/>
        <n v="63.08"/>
        <n v="736.73"/>
        <n v="28.64"/>
        <n v="222.95"/>
        <n v="163.79"/>
        <n v="148.31"/>
        <n v="196.1"/>
        <n v="57.77"/>
        <n v="77.22"/>
        <n v="41.23"/>
        <n v="92.46"/>
        <n v="26.75"/>
        <n v="204.66"/>
        <n v="150.80000000000001"/>
        <n v="157.16999999999999"/>
        <n v="104.95"/>
        <n v="93.62"/>
        <n v="82.32"/>
        <n v="108.12"/>
        <n v="107.11"/>
        <n v="41.76"/>
        <n v="291.07"/>
        <n v="227.79"/>
        <n v="120.92"/>
        <n v="52.47"/>
        <n v="96.34"/>
        <n v="54.06"/>
        <n v="69.16"/>
        <n v="29.17"/>
        <n v="71.400000000000006"/>
        <n v="218.83"/>
        <n v="240.35"/>
        <n v="74.680000000000007"/>
        <n v="26.49"/>
        <n v="62.26"/>
        <n v="43.26"/>
        <n v="26.86"/>
        <n v="46.75"/>
        <n v="62.44"/>
        <n v="55.79"/>
        <n v="74.88"/>
        <n v="124.43"/>
        <n v="134.22"/>
        <n v="19.05"/>
        <n v="64.5"/>
        <n v="72.760000000000005"/>
        <n v="14.09"/>
        <n v="55.68"/>
        <n v="20.02"/>
        <n v="30.82"/>
        <n v="31.91"/>
        <n v="49.05"/>
        <n v="49.52"/>
        <n v="51.79"/>
        <n v="58.21"/>
        <n v="14.88"/>
        <n v="0"/>
        <n v="86"/>
        <n v="107.37"/>
        <n v="116.96"/>
        <n v="56.59"/>
        <n v="89.93"/>
        <n v="31.86"/>
        <n v="80.209999999999994"/>
        <n v="145.38999999999999"/>
        <n v="27.38"/>
        <n v="81.61"/>
        <n v="36.21"/>
        <n v="55.5"/>
        <n v="129.74"/>
        <n v="99.67"/>
        <n v="46.38"/>
        <n v="82.59"/>
        <n v="83.55"/>
        <n v="91.08"/>
        <n v="107.5"/>
        <n v="32.22"/>
        <n v="73.8"/>
        <n v="112.44"/>
        <n v="61.05"/>
        <n v="42.4"/>
        <n v="63.97"/>
        <n v="79.39"/>
        <n v="66.56"/>
        <n v="28.47"/>
        <n v="58.3"/>
        <n v="28.24"/>
        <n v="11.37"/>
        <n v="25.71"/>
        <n v="67.48"/>
        <n v="87.75"/>
        <n v="92.59"/>
        <n v="29.77"/>
        <n v="85.47"/>
        <n v="39.03"/>
        <n v="42.69"/>
        <n v="83.53"/>
        <n v="168.92"/>
        <n v="82.74"/>
        <n v="21.73"/>
        <n v="50.58"/>
        <n v="39.58"/>
        <n v="39.17"/>
        <n v="52.08"/>
        <n v="54.74"/>
        <n v="45.71"/>
        <n v="30.34"/>
        <n v="28.69"/>
        <m/>
      </sharedItems>
    </cacheField>
    <cacheField name="平均点击成本" numFmtId="0">
      <sharedItems containsString="0" containsBlank="1" containsNumber="1" minValue="0" maxValue="4.91" count="103">
        <n v="3.23"/>
        <n v="3.04"/>
        <n v="3.72"/>
        <n v="3.59"/>
        <n v="1.82"/>
        <n v="1.57"/>
        <n v="1.42"/>
        <n v="2.48"/>
        <n v="2.67"/>
        <n v="3.09"/>
        <n v="3.77"/>
        <n v="1.58"/>
        <n v="1.98"/>
        <n v="1.64"/>
        <n v="4.7"/>
        <n v="2.13"/>
        <n v="2.35"/>
        <n v="2.2200000000000002"/>
        <n v="2.81"/>
        <n v="3.81"/>
        <n v="1.96"/>
        <n v="1.85"/>
        <n v="3.56"/>
        <n v="1.92"/>
        <n v="2.2400000000000002"/>
        <n v="2.39"/>
        <n v="3.31"/>
        <n v="3.4"/>
        <n v="3.39"/>
        <n v="3.95"/>
        <n v="1.87"/>
        <n v="2.83"/>
        <n v="3.22"/>
        <n v="2.4900000000000002"/>
        <n v="1.36"/>
        <n v="3.06"/>
        <n v="1.55"/>
        <n v="2.33"/>
        <n v="1.03"/>
        <n v="2.2000000000000002"/>
        <n v="2.58"/>
        <n v="3.45"/>
        <n v="1.59"/>
        <n v="0.41"/>
        <n v="1.91"/>
        <n v="0.99"/>
        <n v="0.85"/>
        <n v="1.62"/>
        <n v="1.93"/>
        <n v="2.16"/>
        <n v="2.4700000000000002"/>
        <n v="0.36"/>
        <n v="1.41"/>
        <n v="1.69"/>
        <n v="1.33"/>
        <n v="1.28"/>
        <n v="0.63"/>
        <n v="1.0900000000000001"/>
        <n v="1.39"/>
        <n v="2.38"/>
        <n v="2.21"/>
        <n v="2.85"/>
        <n v="1.22"/>
        <n v="0"/>
        <n v="2.68"/>
        <n v="2.4500000000000002"/>
        <n v="2.87"/>
        <n v="2.04"/>
        <n v="0.89"/>
        <n v="3.36"/>
        <n v="2.82"/>
        <n v="3.14"/>
        <n v="3.08"/>
        <n v="4.91"/>
        <n v="3.83"/>
        <n v="3.69"/>
        <n v="2.57"/>
        <n v="2.12"/>
        <n v="2.71"/>
        <n v="0.69"/>
        <n v="1.81"/>
        <n v="2.61"/>
        <n v="1.53"/>
        <n v="1.75"/>
        <n v="2.5299999999999998"/>
        <n v="3.27"/>
        <n v="2.4"/>
        <n v="1.65"/>
        <n v="2.14"/>
        <n v="2.5"/>
        <n v="1.66"/>
        <n v="3.1"/>
        <n v="3.54"/>
        <n v="3.49"/>
        <n v="2.5499999999999998"/>
        <n v="2.88"/>
        <n v="4.0599999999999996"/>
        <n v="2.08"/>
        <n v="3.78"/>
        <n v="4.24"/>
        <n v="3.52"/>
        <n v="2.02"/>
        <m/>
      </sharedItems>
    </cacheField>
    <cacheField name="直接订单行" numFmtId="0">
      <sharedItems containsString="0" containsBlank="1" containsNumber="1" containsInteger="1" minValue="0" maxValue="476" count="39">
        <n v="231"/>
        <n v="70"/>
        <n v="7"/>
        <n v="6"/>
        <n v="9"/>
        <n v="2"/>
        <n v="1"/>
        <n v="255"/>
        <n v="86"/>
        <n v="10"/>
        <n v="16"/>
        <n v="5"/>
        <n v="0"/>
        <n v="48"/>
        <n v="263"/>
        <n v="68"/>
        <n v="13"/>
        <n v="102"/>
        <n v="211"/>
        <n v="52"/>
        <n v="223"/>
        <n v="476"/>
        <n v="145"/>
        <n v="85"/>
        <n v="368"/>
        <n v="87"/>
        <n v="3"/>
        <n v="78"/>
        <n v="168"/>
        <n v="58"/>
        <n v="4"/>
        <n v="115"/>
        <n v="176"/>
        <n v="59"/>
        <n v="91"/>
        <n v="154"/>
        <n v="151"/>
        <n v="246"/>
        <m/>
      </sharedItems>
    </cacheField>
    <cacheField name="直接订单金额" numFmtId="0">
      <sharedItems containsString="0" containsBlank="1" containsNumber="1" minValue="0" maxValue="700280" count="79">
        <n v="171405"/>
        <n v="64349"/>
        <n v="5143"/>
        <n v="4644"/>
        <n v="8599.2000000000007"/>
        <n v="1393"/>
        <n v="428.4"/>
        <n v="191716.39"/>
        <n v="78108.399999999994"/>
        <n v="6490"/>
        <n v="11183"/>
        <n v="2187.87"/>
        <n v="903.7"/>
        <n v="0"/>
        <n v="262080"/>
        <n v="203995.6"/>
        <n v="66753.2"/>
        <n v="10404"/>
        <n v="8457"/>
        <n v="953.2"/>
        <n v="909.3"/>
        <n v="432.7"/>
        <n v="759"/>
        <n v="700280"/>
        <n v="155739.1"/>
        <n v="47288"/>
        <n v="347006.39"/>
        <n v="332621.19"/>
        <n v="124180.2"/>
        <n v="6545"/>
        <n v="2952.29"/>
        <n v="6711.3"/>
        <n v="821.33"/>
        <n v="3272.5"/>
        <n v="128462.5"/>
        <n v="264777.8"/>
        <n v="76404.399999999994"/>
        <n v="3326.7"/>
        <n v="401.33"/>
        <n v="4618.7"/>
        <n v="4181.91"/>
        <n v="1301.33"/>
        <n v="3325.1"/>
        <n v="1531.4"/>
        <n v="1598"/>
        <n v="127056.35"/>
        <n v="124703.32"/>
        <n v="51955.14"/>
        <n v="1779.96"/>
        <n v="1954.7"/>
        <n v="4540.6000000000004"/>
        <n v="767.3"/>
        <n v="630.5"/>
        <n v="3196"/>
        <n v="186287.31"/>
        <n v="130033.04"/>
        <n v="52589.46"/>
        <n v="2522"/>
        <n v="425.46"/>
        <n v="3102.5"/>
        <n v="3678.5"/>
        <n v="451.5"/>
        <n v="2210"/>
        <n v="2906.01"/>
        <n v="147742.53"/>
        <n v="112769.64"/>
        <n v="53423.1"/>
        <n v="1260"/>
        <n v="3783"/>
        <n v="2177.1"/>
        <n v="2996"/>
        <n v="735.7"/>
        <n v="228480.1"/>
        <n v="169368.64"/>
        <n v="57707"/>
        <n v="3720.86"/>
        <n v="1642.66"/>
        <n v="1471.4"/>
        <m/>
      </sharedItems>
    </cacheField>
    <cacheField name="间接订单行" numFmtId="0">
      <sharedItems containsString="0" containsBlank="1" containsNumber="1" containsInteger="1" minValue="0" maxValue="158" count="41">
        <n v="69"/>
        <n v="48"/>
        <n v="27"/>
        <n v="9"/>
        <n v="6"/>
        <n v="3"/>
        <n v="0"/>
        <n v="60"/>
        <n v="41"/>
        <n v="39"/>
        <n v="71"/>
        <n v="2"/>
        <n v="5"/>
        <n v="25"/>
        <n v="38"/>
        <n v="18"/>
        <n v="4"/>
        <n v="1"/>
        <n v="79"/>
        <n v="46"/>
        <n v="45"/>
        <n v="158"/>
        <n v="124"/>
        <n v="22"/>
        <n v="10"/>
        <n v="13"/>
        <n v="74"/>
        <n v="53"/>
        <n v="28"/>
        <n v="7"/>
        <n v="8"/>
        <n v="34"/>
        <n v="33"/>
        <n v="30"/>
        <n v="51"/>
        <n v="40"/>
        <n v="26"/>
        <n v="55"/>
        <n v="37"/>
        <n v="47"/>
        <m/>
      </sharedItems>
    </cacheField>
    <cacheField name="间接订单金额" numFmtId="0">
      <sharedItems containsString="0" containsBlank="1" containsNumber="1" minValue="0" maxValue="109203.06" count="91">
        <n v="49399.7"/>
        <n v="31753"/>
        <n v="17628.62"/>
        <n v="6134.7"/>
        <n v="3089.1"/>
        <n v="1658.7"/>
        <n v="0"/>
        <n v="46351.32"/>
        <n v="27868.7"/>
        <n v="27757.7"/>
        <n v="52959.02"/>
        <n v="5546.23"/>
        <n v="1020"/>
        <n v="2518.1"/>
        <n v="4435.84"/>
        <n v="18648.8"/>
        <n v="31664.7"/>
        <n v="38059"/>
        <n v="18808.5"/>
        <n v="18007.900000000001"/>
        <n v="2382.4"/>
        <n v="1774.7"/>
        <n v="5773.1"/>
        <n v="954.4"/>
        <n v="55097.599999999999"/>
        <n v="35587.4"/>
        <n v="32905.699999999997"/>
        <n v="23398"/>
        <n v="451.5"/>
        <n v="109203.06"/>
        <n v="90612.74"/>
        <n v="45345.1"/>
        <n v="15121.76"/>
        <n v="5173.95"/>
        <n v="11388.1"/>
        <n v="1272.33"/>
        <n v="2333.4"/>
        <n v="3294.43"/>
        <n v="61599.8"/>
        <n v="62272.1"/>
        <n v="39685.5"/>
        <n v="19522"/>
        <n v="1483.5"/>
        <n v="10523.7"/>
        <n v="8086.69"/>
        <n v="3942.28"/>
        <n v="1587.3"/>
        <n v="7395.6"/>
        <n v="2526"/>
        <n v="28201.8"/>
        <n v="27218.3"/>
        <n v="25073.67"/>
        <n v="876.96"/>
        <n v="7284"/>
        <n v="5630.21"/>
        <n v="904.2"/>
        <n v="1932.92"/>
        <n v="767.3"/>
        <n v="735.7"/>
        <n v="37142.1"/>
        <n v="33106.43"/>
        <n v="20255.03"/>
        <n v="2344.29"/>
        <n v="2115.1999999999998"/>
        <n v="2123"/>
        <n v="7093.31"/>
        <n v="768"/>
        <n v="630.5"/>
        <n v="3126.66"/>
        <n v="51405.599999999999"/>
        <n v="29848.36"/>
        <n v="20016.7"/>
        <n v="1578.16"/>
        <n v="5940.44"/>
        <n v="3832.1"/>
        <n v="1333.2"/>
        <n v="401.33"/>
        <n v="1468"/>
        <n v="1424.56"/>
        <n v="34486.46"/>
        <n v="39168.160000000003"/>
        <n v="12565.34"/>
        <n v="821.33"/>
        <n v="2727.03"/>
        <n v="1408.83"/>
        <n v="1881.86"/>
        <n v="1996.7"/>
        <n v="1590"/>
        <n v="683"/>
        <n v="3088.19"/>
        <m/>
      </sharedItems>
    </cacheField>
    <cacheField name="总订单行" numFmtId="0">
      <sharedItems containsString="0" containsBlank="1" containsNumber="1" containsInteger="1" minValue="0" maxValue="600" count="51">
        <n v="300"/>
        <n v="118"/>
        <n v="34"/>
        <n v="15"/>
        <n v="5"/>
        <n v="1"/>
        <n v="315"/>
        <n v="127"/>
        <n v="49"/>
        <n v="87"/>
        <n v="14"/>
        <n v="3"/>
        <n v="7"/>
        <n v="6"/>
        <n v="73"/>
        <n v="301"/>
        <n v="116"/>
        <n v="43"/>
        <n v="31"/>
        <n v="2"/>
        <n v="181"/>
        <n v="257"/>
        <n v="97"/>
        <n v="0"/>
        <n v="381"/>
        <n v="600"/>
        <n v="216"/>
        <n v="32"/>
        <n v="17"/>
        <n v="22"/>
        <n v="4"/>
        <n v="8"/>
        <n v="159"/>
        <n v="447"/>
        <n v="140"/>
        <n v="33"/>
        <n v="19"/>
        <n v="20"/>
        <n v="10"/>
        <n v="112"/>
        <n v="201"/>
        <n v="88"/>
        <n v="13"/>
        <n v="166"/>
        <n v="85"/>
        <n v="146"/>
        <n v="191"/>
        <n v="196"/>
        <n v="293"/>
        <n v="86"/>
        <m/>
      </sharedItems>
    </cacheField>
    <cacheField name="总订单金额" numFmtId="0">
      <sharedItems containsString="0" containsBlank="1" containsNumber="1" minValue="0" maxValue="755377.6" count="98">
        <n v="220804.7"/>
        <n v="96102"/>
        <n v="22771.62"/>
        <n v="10778.7"/>
        <n v="11688.3"/>
        <n v="3051.7"/>
        <n v="428.4"/>
        <n v="238067.71"/>
        <n v="105977.1"/>
        <n v="34247.699999999997"/>
        <n v="64142.02"/>
        <n v="7734.1"/>
        <n v="1448.4"/>
        <n v="3421.8"/>
        <n v="4435.84"/>
        <n v="280728.8"/>
        <n v="235660.3"/>
        <n v="104812.2"/>
        <n v="29212.5"/>
        <n v="26464.9"/>
        <n v="3335.6"/>
        <n v="2684"/>
        <n v="6205.8"/>
        <n v="1713.4"/>
        <n v="755377.6"/>
        <n v="191326.5"/>
        <n v="80193.7"/>
        <n v="23398"/>
        <n v="451.5"/>
        <n v="759"/>
        <n v="0"/>
        <n v="456209.45"/>
        <n v="423233.93"/>
        <n v="169525.3"/>
        <n v="21666.76"/>
        <n v="8126.24"/>
        <n v="18099.400000000001"/>
        <n v="2093.66"/>
        <n v="5605.9"/>
        <n v="3294.43"/>
        <n v="190062.3"/>
        <n v="327049.90000000002"/>
        <n v="116089.9"/>
        <n v="22848.7"/>
        <n v="1884.83"/>
        <n v="15142.4"/>
        <n v="12268.6"/>
        <n v="5243.61"/>
        <n v="4912.3999999999996"/>
        <n v="8927"/>
        <n v="4124"/>
        <n v="155258.15"/>
        <n v="151921.62"/>
        <n v="77028.81"/>
        <n v="2656.92"/>
        <n v="9238.7000000000007"/>
        <n v="10170.81"/>
        <n v="1671.5"/>
        <n v="1932.92"/>
        <n v="1397.8"/>
        <n v="3931.7"/>
        <n v="223429.41"/>
        <n v="163139.47"/>
        <n v="72844.490000000005"/>
        <n v="2344.29"/>
        <n v="4637.2"/>
        <n v="425.46"/>
        <n v="5225.5"/>
        <n v="10771.81"/>
        <n v="2978"/>
        <n v="630.5"/>
        <n v="2906.01"/>
        <n v="904.2"/>
        <n v="3126.66"/>
        <n v="199148.13"/>
        <n v="142618"/>
        <n v="73439.8"/>
        <n v="2838.16"/>
        <n v="9723.44"/>
        <n v="6009.2"/>
        <n v="1333.2"/>
        <n v="1222.6600000000001"/>
        <n v="3900.2"/>
        <n v="2203.6999999999998"/>
        <n v="1424.56"/>
        <n v="262966.56"/>
        <n v="208536.8"/>
        <n v="70272.34"/>
        <n v="1642.66"/>
        <n v="6447.89"/>
        <n v="3051.49"/>
        <n v="3626.5"/>
        <n v="1881.86"/>
        <n v="2627.2"/>
        <n v="3061.4"/>
        <n v="683"/>
        <n v="3088.19"/>
        <m/>
      </sharedItems>
    </cacheField>
    <cacheField name="预售订单行" numFmtId="0">
      <sharedItems containsString="0" containsBlank="1" containsNumber="1" containsInteger="1" minValue="0" maxValue="45" count="8">
        <n v="4"/>
        <n v="0"/>
        <n v="5"/>
        <n v="45"/>
        <n v="3"/>
        <n v="1"/>
        <n v="27"/>
        <m/>
      </sharedItems>
    </cacheField>
    <cacheField name="预售订单金额" numFmtId="0">
      <sharedItems containsString="0" containsBlank="1" containsNumber="1" containsInteger="1" minValue="0" maxValue="523362" count="10">
        <n v="3196"/>
        <n v="0"/>
        <n v="3995"/>
        <n v="257283"/>
        <n v="8796"/>
        <n v="6597"/>
        <n v="2199"/>
        <n v="523362"/>
        <n v="21990"/>
        <m/>
      </sharedItems>
    </cacheField>
    <cacheField name="直接加购数" numFmtId="0">
      <sharedItems containsString="0" containsBlank="1" containsNumber="1" containsInteger="1" minValue="0" maxValue="3937" count="89">
        <n v="2169"/>
        <n v="723"/>
        <n v="158"/>
        <n v="69"/>
        <n v="108"/>
        <n v="61"/>
        <n v="4"/>
        <n v="2232"/>
        <n v="664"/>
        <n v="489"/>
        <n v="341"/>
        <n v="78"/>
        <n v="43"/>
        <n v="50"/>
        <n v="9"/>
        <n v="735"/>
        <n v="1924"/>
        <n v="510"/>
        <n v="385"/>
        <n v="134"/>
        <n v="46"/>
        <n v="56"/>
        <n v="26"/>
        <n v="19"/>
        <n v="2245"/>
        <n v="1606"/>
        <n v="407"/>
        <n v="7"/>
        <n v="6"/>
        <n v="3"/>
        <n v="1"/>
        <n v="2"/>
        <n v="3644"/>
        <n v="3937"/>
        <n v="1088"/>
        <n v="154"/>
        <n v="58"/>
        <n v="70"/>
        <n v="32"/>
        <n v="16"/>
        <n v="1289"/>
        <n v="3045"/>
        <n v="847"/>
        <n v="119"/>
        <n v="79"/>
        <n v="83"/>
        <n v="47"/>
        <n v="21"/>
        <n v="18"/>
        <n v="1034"/>
        <n v="1447"/>
        <n v="425"/>
        <n v="40"/>
        <n v="72"/>
        <n v="68"/>
        <n v="8"/>
        <n v="42"/>
        <n v="54"/>
        <n v="25"/>
        <n v="0"/>
        <n v="1398"/>
        <n v="1474"/>
        <n v="473"/>
        <n v="52"/>
        <n v="87"/>
        <n v="22"/>
        <n v="53"/>
        <n v="88"/>
        <n v="66"/>
        <n v="24"/>
        <n v="39"/>
        <n v="1847"/>
        <n v="1369"/>
        <n v="599"/>
        <n v="23"/>
        <n v="29"/>
        <n v="48"/>
        <n v="30"/>
        <n v="11"/>
        <n v="1891"/>
        <n v="2511"/>
        <n v="706"/>
        <n v="106"/>
        <n v="44"/>
        <n v="55"/>
        <n v="33"/>
        <n v="17"/>
        <n v="14"/>
        <m/>
      </sharedItems>
    </cacheField>
    <cacheField name="间接加购数" numFmtId="0">
      <sharedItems containsString="0" containsBlank="1" containsNumber="1" containsInteger="1" minValue="0" maxValue="1749" count="86">
        <n v="1015"/>
        <n v="447"/>
        <n v="435"/>
        <n v="73"/>
        <n v="105"/>
        <n v="42"/>
        <n v="1"/>
        <n v="923"/>
        <n v="396"/>
        <n v="361"/>
        <n v="611"/>
        <n v="59"/>
        <n v="37"/>
        <n v="49"/>
        <n v="56"/>
        <n v="321"/>
        <n v="687"/>
        <n v="372"/>
        <n v="282"/>
        <n v="252"/>
        <n v="57"/>
        <n v="48"/>
        <n v="29"/>
        <n v="4"/>
        <n v="833"/>
        <n v="641"/>
        <n v="273"/>
        <n v="15"/>
        <n v="3"/>
        <n v="0"/>
        <n v="2"/>
        <n v="1749"/>
        <n v="1360"/>
        <n v="490"/>
        <n v="207"/>
        <n v="81"/>
        <n v="65"/>
        <n v="47"/>
        <n v="35"/>
        <n v="32"/>
        <n v="801"/>
        <n v="979"/>
        <n v="439"/>
        <n v="295"/>
        <n v="54"/>
        <n v="128"/>
        <n v="153"/>
        <n v="51"/>
        <n v="20"/>
        <n v="25"/>
        <n v="534"/>
        <n v="615"/>
        <n v="357"/>
        <n v="23"/>
        <n v="93"/>
        <n v="86"/>
        <n v="9"/>
        <n v="43"/>
        <n v="21"/>
        <n v="12"/>
        <n v="16"/>
        <n v="678"/>
        <n v="637"/>
        <n v="30"/>
        <n v="13"/>
        <n v="24"/>
        <n v="77"/>
        <n v="8"/>
        <n v="6"/>
        <n v="10"/>
        <n v="19"/>
        <n v="640"/>
        <n v="650"/>
        <n v="320"/>
        <n v="76"/>
        <n v="74"/>
        <n v="22"/>
        <n v="5"/>
        <n v="1016"/>
        <n v="947"/>
        <n v="378"/>
        <n v="41"/>
        <n v="52"/>
        <n v="17"/>
        <n v="11"/>
        <m/>
      </sharedItems>
    </cacheField>
    <cacheField name="总加购数" numFmtId="0">
      <sharedItems containsString="0" containsBlank="1" containsNumber="1" containsInteger="1" minValue="0" maxValue="5393" count="98">
        <n v="3184"/>
        <n v="1170"/>
        <n v="593"/>
        <n v="142"/>
        <n v="213"/>
        <n v="103"/>
        <n v="5"/>
        <n v="3155"/>
        <n v="1060"/>
        <n v="850"/>
        <n v="952"/>
        <n v="137"/>
        <n v="80"/>
        <n v="99"/>
        <n v="65"/>
        <n v="1056"/>
        <n v="2611"/>
        <n v="882"/>
        <n v="667"/>
        <n v="386"/>
        <n v="104"/>
        <n v="55"/>
        <n v="23"/>
        <n v="3078"/>
        <n v="2247"/>
        <n v="680"/>
        <n v="22"/>
        <n v="9"/>
        <n v="4"/>
        <n v="1"/>
        <n v="5393"/>
        <n v="5297"/>
        <n v="1578"/>
        <n v="361"/>
        <n v="139"/>
        <n v="135"/>
        <n v="79"/>
        <n v="85"/>
        <n v="48"/>
        <n v="2090"/>
        <n v="4024"/>
        <n v="1286"/>
        <n v="414"/>
        <n v="97"/>
        <n v="207"/>
        <n v="236"/>
        <n v="83"/>
        <n v="67"/>
        <n v="63"/>
        <n v="43"/>
        <n v="1568"/>
        <n v="2062"/>
        <n v="782"/>
        <n v="165"/>
        <n v="154"/>
        <n v="17"/>
        <n v="30"/>
        <n v="66"/>
        <n v="41"/>
        <n v="2"/>
        <n v="3"/>
        <n v="0"/>
        <n v="2076"/>
        <n v="2111"/>
        <n v="834"/>
        <n v="82"/>
        <n v="144"/>
        <n v="35"/>
        <n v="77"/>
        <n v="72"/>
        <n v="36"/>
        <n v="40"/>
        <n v="58"/>
        <n v="2487"/>
        <n v="2019"/>
        <n v="919"/>
        <n v="130"/>
        <n v="152"/>
        <n v="95"/>
        <n v="54"/>
        <n v="38"/>
        <n v="49"/>
        <n v="57"/>
        <n v="42"/>
        <n v="19"/>
        <n v="2907"/>
        <n v="3458"/>
        <n v="1084"/>
        <n v="129"/>
        <n v="158"/>
        <n v="100"/>
        <n v="81"/>
        <n v="76"/>
        <n v="7"/>
        <n v="34"/>
        <n v="27"/>
        <n v="20"/>
        <m/>
      </sharedItems>
    </cacheField>
    <cacheField name="加购成本" numFmtId="0">
      <sharedItems containsString="0" containsBlank="1" containsNumber="1" minValue="0" maxValue="55.81" count="114">
        <n v="7.52"/>
        <n v="9.82"/>
        <n v="8.67"/>
        <n v="18.37"/>
        <n v="5.08"/>
        <n v="4.96"/>
        <n v="3.68"/>
        <n v="7.07"/>
        <n v="9.5500000000000007"/>
        <n v="8.07"/>
        <n v="7.58"/>
        <n v="5.39"/>
        <n v="4.3"/>
        <n v="4.22"/>
        <n v="9.0299999999999994"/>
        <n v="22.29"/>
        <n v="9.39"/>
        <n v="11.17"/>
        <n v="7.18"/>
        <n v="9.07"/>
        <n v="9"/>
        <n v="11.69"/>
        <n v="8.52"/>
        <n v="19.37"/>
        <n v="20.079999999999998"/>
        <n v="8.34"/>
        <n v="9.48"/>
        <n v="14.15"/>
        <n v="10.95"/>
        <n v="16.55"/>
        <n v="55.81"/>
        <n v="17.809999999999999"/>
        <n v="11.86"/>
        <n v="12.2"/>
        <n v="7.05"/>
        <n v="7.74"/>
        <n v="7.06"/>
        <n v="4.4400000000000004"/>
        <n v="8.01"/>
        <n v="6.54"/>
        <n v="7.3"/>
        <n v="3.59"/>
        <n v="8.0500000000000007"/>
        <n v="9.49"/>
        <n v="4.6399999999999997"/>
        <n v="6.09"/>
        <n v="5.67"/>
        <n v="3.39"/>
        <n v="4.95"/>
        <n v="7.11"/>
        <n v="6.62"/>
        <n v="7.22"/>
        <n v="14.38"/>
        <n v="7.8"/>
        <n v="10.130000000000001"/>
        <n v="5.81"/>
        <n v="6.53"/>
        <n v="6.49"/>
        <n v="9.9"/>
        <n v="6.94"/>
        <n v="5.48"/>
        <n v="2.97"/>
        <n v="4.2"/>
        <n v="26.15"/>
        <n v="20.21"/>
        <n v="8.1"/>
        <n v="11.41"/>
        <n v="0"/>
        <n v="13.94"/>
        <n v="8.48"/>
        <n v="11.09"/>
        <n v="18.66"/>
        <n v="7.88"/>
        <n v="10.18"/>
        <n v="9.1999999999999993"/>
        <n v="7.77"/>
        <n v="6.35"/>
        <n v="7.86"/>
        <n v="6.69"/>
        <n v="11.79"/>
        <n v="12.88"/>
        <n v="13.27"/>
        <n v="8.2899999999999991"/>
        <n v="12.56"/>
        <n v="5.29"/>
        <n v="6.24"/>
        <n v="11.43"/>
        <n v="9.9499999999999993"/>
        <n v="8.19"/>
        <n v="7.83"/>
        <n v="8"/>
        <n v="7.63"/>
        <n v="17.64"/>
        <n v="5.57"/>
        <n v="5.28"/>
        <n v="3.3"/>
        <n v="11.67"/>
        <n v="6.19"/>
        <n v="8.3699999999999992"/>
        <n v="5.52"/>
        <n v="5.4"/>
        <n v="4.5599999999999996"/>
        <n v="11.12"/>
        <n v="9.83"/>
        <n v="5.93"/>
        <n v="14.91"/>
        <n v="4.24"/>
        <n v="3.31"/>
        <n v="4.78"/>
        <n v="10.27"/>
        <n v="9.33"/>
        <n v="24.64"/>
        <n v="2.31"/>
        <m/>
      </sharedItems>
    </cacheField>
    <cacheField name="转化率(%)" numFmtId="0">
      <sharedItems containsString="0" containsBlank="1" containsNumber="1" minValue="0" maxValue="8.6999999999999993" count="92">
        <n v="4.05"/>
        <n v="3.12"/>
        <n v="2.46"/>
        <n v="2.0699999999999998"/>
        <n v="2.5299999999999998"/>
        <n v="1.54"/>
        <n v="7.69"/>
        <n v="3.51"/>
        <n v="3.35"/>
        <n v="2.21"/>
        <n v="4.54"/>
        <n v="3"/>
        <n v="1.72"/>
        <n v="2.75"/>
        <n v="4.8"/>
        <n v="0.66"/>
        <n v="2.89"/>
        <n v="2.61"/>
        <n v="2.52"/>
        <n v="3.37"/>
        <n v="1.5"/>
        <n v="0.97"/>
        <n v="2.76"/>
        <n v="1.6"/>
        <n v="0.56000000000000005"/>
        <n v="3.07"/>
        <n v="3.6"/>
        <n v="3.19"/>
        <n v="3.45"/>
        <n v="5"/>
        <n v="0"/>
        <n v="1.08"/>
        <n v="5.7"/>
        <n v="3.13"/>
        <n v="3.75"/>
        <n v="6.23"/>
        <n v="1.2"/>
        <n v="3.01"/>
        <n v="2.4"/>
        <n v="1.01"/>
        <n v="3.55"/>
        <n v="3.96"/>
        <n v="2.73"/>
        <n v="0.34"/>
        <n v="3.09"/>
        <n v="2.48"/>
        <n v="2.38"/>
        <n v="4.6900000000000004"/>
        <n v="3.11"/>
        <n v="1.0900000000000001"/>
        <n v="2.7"/>
        <n v="2.74"/>
        <n v="0.6"/>
        <n v="1.7"/>
        <n v="2.2000000000000002"/>
        <n v="1.57"/>
        <n v="0.87"/>
        <n v="1.1100000000000001"/>
        <n v="4.03"/>
        <n v="2.96"/>
        <n v="2.64"/>
        <n v="0.3"/>
        <n v="1.26"/>
        <n v="0.25"/>
        <n v="3.79"/>
        <n v="2.86"/>
        <n v="0.71"/>
        <n v="2.2200000000000002"/>
        <n v="0.59"/>
        <n v="4.55"/>
        <n v="0.95"/>
        <n v="6.06"/>
        <n v="1.1399999999999999"/>
        <n v="2.42"/>
        <n v="2.04"/>
        <n v="2.2400000000000002"/>
        <n v="1.37"/>
        <n v="2.78"/>
        <n v="3.06"/>
        <n v="6.25"/>
        <n v="1.24"/>
        <n v="2.36"/>
        <n v="0.39"/>
        <n v="2.09"/>
        <n v="2.69"/>
        <n v="1.35"/>
        <n v="2.91"/>
        <n v="1.04"/>
        <n v="3.1"/>
        <n v="8"/>
        <n v="8.6999999999999993"/>
        <m/>
      </sharedItems>
    </cacheField>
    <cacheField name="平均订单成本" numFmtId="0">
      <sharedItems containsString="0" containsBlank="1" containsNumber="1" minValue="0" maxValue="764.87" count="100">
        <n v="79.77"/>
        <n v="97.34"/>
        <n v="151.27000000000001"/>
        <n v="173.9"/>
        <n v="72.14"/>
        <n v="102.17"/>
        <n v="18.399999999999999"/>
        <n v="70.84"/>
        <n v="79.709999999999994"/>
        <n v="140.02000000000001"/>
        <n v="82.95"/>
        <n v="52.7"/>
        <n v="114.55"/>
        <n v="59.7"/>
        <n v="97.86"/>
        <n v="322.39999999999998"/>
        <n v="81.430000000000007"/>
        <n v="84.93"/>
        <n v="111.37"/>
        <n v="112.91"/>
        <n v="132.38"/>
        <n v="202.67"/>
        <n v="66.95"/>
        <n v="222.78"/>
        <n v="341.48"/>
        <n v="72.95"/>
        <n v="66.44"/>
        <n v="103.73"/>
        <n v="98.55"/>
        <n v="66.19"/>
        <n v="0"/>
        <n v="172.71"/>
        <n v="62.27"/>
        <n v="56.55"/>
        <n v="79.67"/>
        <n v="36.270000000000003"/>
        <n v="49.13"/>
        <n v="129.15"/>
        <n v="77.53"/>
        <n v="43.08"/>
        <n v="217.55"/>
        <n v="72.44"/>
        <n v="87.2"/>
        <n v="58.2"/>
        <n v="118.21"/>
        <n v="61.79"/>
        <n v="39.97"/>
        <n v="41.1"/>
        <n v="68.040000000000006"/>
        <n v="41.69"/>
        <n v="62.08"/>
        <n v="201.3"/>
        <n v="80.06"/>
        <n v="90.02"/>
        <n v="61.05"/>
        <n v="82.84"/>
        <n v="76.849999999999994"/>
        <n v="84.19"/>
        <n v="147.44"/>
        <n v="97.97"/>
        <n v="34.46"/>
        <n v="174.39"/>
        <n v="82.91"/>
        <n v="108.77"/>
        <n v="764.87"/>
        <n v="162.16"/>
        <n v="356.35"/>
        <n v="88.55"/>
        <n v="98.65"/>
        <n v="190.62"/>
        <n v="141.51"/>
        <n v="240.81"/>
        <n v="67.81"/>
        <n v="515.07000000000005"/>
        <n v="63.18"/>
        <n v="225.98"/>
        <n v="87.66"/>
        <n v="132.72"/>
        <n v="114.56"/>
        <n v="63.27"/>
        <n v="135.76"/>
        <n v="268.76"/>
        <n v="127.96"/>
        <n v="91.26"/>
        <n v="106.8"/>
        <n v="52.91"/>
        <n v="173.13"/>
        <n v="73.040000000000006"/>
        <n v="105.49"/>
        <n v="178.1"/>
        <n v="119.82"/>
        <n v="67.489999999999995"/>
        <n v="123.12"/>
        <n v="106.71"/>
        <n v="340.66"/>
        <n v="112.66"/>
        <n v="36.020000000000003"/>
        <n v="89.42"/>
        <n v="23.88"/>
        <m/>
      </sharedItems>
    </cacheField>
    <cacheField name="投产比" numFmtId="0">
      <sharedItems containsString="0" containsBlank="1" containsNumber="1" minValue="0" maxValue="75.19" count="98">
        <n v="9.23"/>
        <n v="8.3699999999999992"/>
        <n v="4.43"/>
        <n v="4.13"/>
        <n v="10.8"/>
        <n v="5.97"/>
        <n v="23.28"/>
        <n v="10.67"/>
        <n v="10.47"/>
        <n v="4.99"/>
        <n v="8.89"/>
        <n v="10.48"/>
        <n v="4.21"/>
        <n v="8.19"/>
        <n v="7.55"/>
        <n v="11.93"/>
        <n v="9.61"/>
        <n v="10.64"/>
        <n v="6.1"/>
        <n v="7.56"/>
        <n v="3.6"/>
        <n v="2.21"/>
        <n v="13.24"/>
        <n v="3.85"/>
        <n v="12.22"/>
        <n v="10.199999999999999"/>
        <n v="12.44"/>
        <n v="75.19"/>
        <n v="4.58"/>
        <n v="11.47"/>
        <n v="0"/>
        <n v="6.93"/>
        <n v="11.33"/>
        <n v="13.88"/>
        <n v="8.5"/>
        <n v="13.18"/>
        <n v="16.739999999999998"/>
        <n v="4.05"/>
        <n v="9.0399999999999991"/>
        <n v="19.12"/>
        <n v="5.49"/>
        <n v="10.1"/>
        <n v="9.51"/>
        <n v="11.9"/>
        <n v="3.19"/>
        <n v="12.9"/>
        <n v="15.35"/>
        <n v="12.76"/>
        <n v="10.31"/>
        <n v="21.41"/>
        <n v="13.29"/>
        <n v="6.89"/>
        <n v="9.44"/>
        <n v="9.7200000000000006"/>
        <n v="7.25"/>
        <n v="8.58"/>
        <n v="10.18"/>
        <n v="9.93"/>
        <n v="3.28"/>
        <n v="7.13"/>
        <n v="22.82"/>
        <n v="7.72"/>
        <n v="9.11"/>
        <n v="7.88"/>
        <n v="1.53"/>
        <n v="4.09"/>
        <n v="1.19"/>
        <n v="7.38"/>
        <n v="8.4"/>
        <n v="2.37"/>
        <n v="5.26"/>
        <n v="2.62"/>
        <n v="10.71"/>
        <n v="1.76"/>
        <n v="8.25"/>
        <n v="6.04"/>
        <n v="8.52"/>
        <n v="6.36"/>
        <n v="10.25"/>
        <n v="5.53"/>
        <n v="2.48"/>
        <n v="3.18"/>
        <n v="8.5500000000000007"/>
        <n v="6.88"/>
        <n v="13.46"/>
        <n v="7.75"/>
        <n v="9.74"/>
        <n v="2.31"/>
        <n v="5.38"/>
        <n v="5.65"/>
        <n v="3.31"/>
        <n v="6.8"/>
        <n v="1.84"/>
        <n v="5.83"/>
        <n v="21.25"/>
        <n v="7.64"/>
        <n v="32.33"/>
        <m/>
      </sharedItems>
    </cacheField>
    <cacheField name="CPM" numFmtId="0" formula="花费/展现数*1000" databaseField="0"/>
    <cacheField name="CPC" numFmtId="0" formula="花费/点击数" databaseField="0"/>
    <cacheField name="CTR（%）" numFmtId="0" formula="点击数/展现数*100" databaseField="0"/>
    <cacheField name="CVR（%）" numFmtId="0" formula="总订单行/点击数*100" databaseField="0"/>
    <cacheField name="ROI" numFmtId="0" formula="总订单金额/花费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3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0"/>
    <x v="2"/>
    <x v="2"/>
    <x v="1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</r>
  <r>
    <x v="0"/>
    <x v="3"/>
    <x v="3"/>
    <x v="1"/>
    <x v="3"/>
    <x v="3"/>
    <x v="3"/>
    <x v="3"/>
    <x v="3"/>
    <x v="3"/>
    <x v="3"/>
    <x v="3"/>
    <x v="3"/>
    <x v="3"/>
    <x v="3"/>
    <x v="3"/>
    <x v="2"/>
    <x v="2"/>
    <x v="3"/>
    <x v="3"/>
    <x v="3"/>
    <x v="3"/>
    <x v="3"/>
    <x v="3"/>
    <x v="3"/>
  </r>
  <r>
    <x v="0"/>
    <x v="4"/>
    <x v="4"/>
    <x v="2"/>
    <x v="4"/>
    <x v="4"/>
    <x v="4"/>
    <x v="4"/>
    <x v="4"/>
    <x v="4"/>
    <x v="4"/>
    <x v="4"/>
    <x v="4"/>
    <x v="4"/>
    <x v="3"/>
    <x v="4"/>
    <x v="1"/>
    <x v="1"/>
    <x v="4"/>
    <x v="4"/>
    <x v="4"/>
    <x v="4"/>
    <x v="4"/>
    <x v="4"/>
    <x v="4"/>
  </r>
  <r>
    <x v="0"/>
    <x v="5"/>
    <x v="5"/>
    <x v="2"/>
    <x v="5"/>
    <x v="5"/>
    <x v="5"/>
    <x v="5"/>
    <x v="5"/>
    <x v="5"/>
    <x v="5"/>
    <x v="5"/>
    <x v="5"/>
    <x v="5"/>
    <x v="4"/>
    <x v="5"/>
    <x v="1"/>
    <x v="1"/>
    <x v="5"/>
    <x v="5"/>
    <x v="5"/>
    <x v="5"/>
    <x v="5"/>
    <x v="5"/>
    <x v="5"/>
  </r>
  <r>
    <x v="0"/>
    <x v="6"/>
    <x v="6"/>
    <x v="2"/>
    <x v="6"/>
    <x v="6"/>
    <x v="6"/>
    <x v="6"/>
    <x v="6"/>
    <x v="6"/>
    <x v="6"/>
    <x v="6"/>
    <x v="6"/>
    <x v="6"/>
    <x v="5"/>
    <x v="6"/>
    <x v="1"/>
    <x v="1"/>
    <x v="6"/>
    <x v="6"/>
    <x v="6"/>
    <x v="6"/>
    <x v="6"/>
    <x v="6"/>
    <x v="6"/>
  </r>
  <r>
    <x v="1"/>
    <x v="0"/>
    <x v="0"/>
    <x v="0"/>
    <x v="7"/>
    <x v="7"/>
    <x v="7"/>
    <x v="7"/>
    <x v="7"/>
    <x v="7"/>
    <x v="7"/>
    <x v="7"/>
    <x v="7"/>
    <x v="7"/>
    <x v="6"/>
    <x v="7"/>
    <x v="1"/>
    <x v="1"/>
    <x v="7"/>
    <x v="7"/>
    <x v="7"/>
    <x v="7"/>
    <x v="7"/>
    <x v="7"/>
    <x v="7"/>
  </r>
  <r>
    <x v="1"/>
    <x v="1"/>
    <x v="1"/>
    <x v="0"/>
    <x v="8"/>
    <x v="8"/>
    <x v="8"/>
    <x v="8"/>
    <x v="8"/>
    <x v="8"/>
    <x v="8"/>
    <x v="8"/>
    <x v="8"/>
    <x v="8"/>
    <x v="7"/>
    <x v="8"/>
    <x v="1"/>
    <x v="1"/>
    <x v="8"/>
    <x v="8"/>
    <x v="8"/>
    <x v="8"/>
    <x v="8"/>
    <x v="8"/>
    <x v="8"/>
  </r>
  <r>
    <x v="1"/>
    <x v="3"/>
    <x v="3"/>
    <x v="1"/>
    <x v="9"/>
    <x v="9"/>
    <x v="9"/>
    <x v="9"/>
    <x v="9"/>
    <x v="9"/>
    <x v="9"/>
    <x v="9"/>
    <x v="9"/>
    <x v="9"/>
    <x v="8"/>
    <x v="9"/>
    <x v="1"/>
    <x v="1"/>
    <x v="9"/>
    <x v="9"/>
    <x v="9"/>
    <x v="9"/>
    <x v="9"/>
    <x v="9"/>
    <x v="9"/>
  </r>
  <r>
    <x v="1"/>
    <x v="2"/>
    <x v="2"/>
    <x v="1"/>
    <x v="10"/>
    <x v="10"/>
    <x v="10"/>
    <x v="10"/>
    <x v="10"/>
    <x v="10"/>
    <x v="10"/>
    <x v="10"/>
    <x v="10"/>
    <x v="10"/>
    <x v="9"/>
    <x v="10"/>
    <x v="1"/>
    <x v="1"/>
    <x v="10"/>
    <x v="10"/>
    <x v="10"/>
    <x v="10"/>
    <x v="10"/>
    <x v="10"/>
    <x v="10"/>
  </r>
  <r>
    <x v="1"/>
    <x v="4"/>
    <x v="4"/>
    <x v="2"/>
    <x v="11"/>
    <x v="11"/>
    <x v="11"/>
    <x v="11"/>
    <x v="11"/>
    <x v="11"/>
    <x v="11"/>
    <x v="11"/>
    <x v="3"/>
    <x v="11"/>
    <x v="10"/>
    <x v="11"/>
    <x v="1"/>
    <x v="1"/>
    <x v="11"/>
    <x v="11"/>
    <x v="11"/>
    <x v="11"/>
    <x v="11"/>
    <x v="11"/>
    <x v="11"/>
  </r>
  <r>
    <x v="1"/>
    <x v="6"/>
    <x v="6"/>
    <x v="2"/>
    <x v="12"/>
    <x v="12"/>
    <x v="12"/>
    <x v="12"/>
    <x v="12"/>
    <x v="12"/>
    <x v="6"/>
    <x v="6"/>
    <x v="11"/>
    <x v="12"/>
    <x v="11"/>
    <x v="12"/>
    <x v="1"/>
    <x v="1"/>
    <x v="12"/>
    <x v="12"/>
    <x v="12"/>
    <x v="12"/>
    <x v="12"/>
    <x v="12"/>
    <x v="12"/>
  </r>
  <r>
    <x v="1"/>
    <x v="5"/>
    <x v="5"/>
    <x v="2"/>
    <x v="13"/>
    <x v="13"/>
    <x v="13"/>
    <x v="13"/>
    <x v="13"/>
    <x v="13"/>
    <x v="5"/>
    <x v="12"/>
    <x v="12"/>
    <x v="13"/>
    <x v="12"/>
    <x v="13"/>
    <x v="1"/>
    <x v="1"/>
    <x v="13"/>
    <x v="13"/>
    <x v="13"/>
    <x v="13"/>
    <x v="13"/>
    <x v="13"/>
    <x v="13"/>
  </r>
  <r>
    <x v="1"/>
    <x v="7"/>
    <x v="7"/>
    <x v="1"/>
    <x v="14"/>
    <x v="14"/>
    <x v="14"/>
    <x v="14"/>
    <x v="14"/>
    <x v="14"/>
    <x v="12"/>
    <x v="13"/>
    <x v="4"/>
    <x v="14"/>
    <x v="13"/>
    <x v="14"/>
    <x v="1"/>
    <x v="1"/>
    <x v="14"/>
    <x v="14"/>
    <x v="14"/>
    <x v="14"/>
    <x v="14"/>
    <x v="14"/>
    <x v="14"/>
  </r>
  <r>
    <x v="2"/>
    <x v="8"/>
    <x v="8"/>
    <x v="3"/>
    <x v="15"/>
    <x v="15"/>
    <x v="15"/>
    <x v="15"/>
    <x v="15"/>
    <x v="15"/>
    <x v="13"/>
    <x v="14"/>
    <x v="13"/>
    <x v="15"/>
    <x v="14"/>
    <x v="15"/>
    <x v="3"/>
    <x v="3"/>
    <x v="15"/>
    <x v="15"/>
    <x v="15"/>
    <x v="15"/>
    <x v="15"/>
    <x v="15"/>
    <x v="15"/>
  </r>
  <r>
    <x v="2"/>
    <x v="0"/>
    <x v="0"/>
    <x v="0"/>
    <x v="16"/>
    <x v="16"/>
    <x v="16"/>
    <x v="16"/>
    <x v="16"/>
    <x v="16"/>
    <x v="14"/>
    <x v="15"/>
    <x v="14"/>
    <x v="16"/>
    <x v="15"/>
    <x v="16"/>
    <x v="1"/>
    <x v="1"/>
    <x v="16"/>
    <x v="16"/>
    <x v="16"/>
    <x v="16"/>
    <x v="16"/>
    <x v="16"/>
    <x v="16"/>
  </r>
  <r>
    <x v="2"/>
    <x v="1"/>
    <x v="1"/>
    <x v="0"/>
    <x v="17"/>
    <x v="17"/>
    <x v="17"/>
    <x v="17"/>
    <x v="17"/>
    <x v="17"/>
    <x v="15"/>
    <x v="16"/>
    <x v="1"/>
    <x v="17"/>
    <x v="16"/>
    <x v="17"/>
    <x v="0"/>
    <x v="4"/>
    <x v="17"/>
    <x v="17"/>
    <x v="17"/>
    <x v="17"/>
    <x v="17"/>
    <x v="17"/>
    <x v="17"/>
  </r>
  <r>
    <x v="2"/>
    <x v="3"/>
    <x v="3"/>
    <x v="1"/>
    <x v="18"/>
    <x v="18"/>
    <x v="18"/>
    <x v="18"/>
    <x v="18"/>
    <x v="18"/>
    <x v="10"/>
    <x v="17"/>
    <x v="2"/>
    <x v="18"/>
    <x v="17"/>
    <x v="18"/>
    <x v="1"/>
    <x v="1"/>
    <x v="18"/>
    <x v="18"/>
    <x v="18"/>
    <x v="18"/>
    <x v="18"/>
    <x v="18"/>
    <x v="18"/>
  </r>
  <r>
    <x v="2"/>
    <x v="2"/>
    <x v="2"/>
    <x v="1"/>
    <x v="19"/>
    <x v="19"/>
    <x v="19"/>
    <x v="19"/>
    <x v="19"/>
    <x v="19"/>
    <x v="16"/>
    <x v="18"/>
    <x v="15"/>
    <x v="19"/>
    <x v="18"/>
    <x v="19"/>
    <x v="4"/>
    <x v="5"/>
    <x v="19"/>
    <x v="19"/>
    <x v="19"/>
    <x v="19"/>
    <x v="19"/>
    <x v="19"/>
    <x v="19"/>
  </r>
  <r>
    <x v="2"/>
    <x v="4"/>
    <x v="4"/>
    <x v="2"/>
    <x v="20"/>
    <x v="20"/>
    <x v="20"/>
    <x v="20"/>
    <x v="20"/>
    <x v="12"/>
    <x v="5"/>
    <x v="19"/>
    <x v="12"/>
    <x v="20"/>
    <x v="12"/>
    <x v="20"/>
    <x v="1"/>
    <x v="1"/>
    <x v="20"/>
    <x v="20"/>
    <x v="5"/>
    <x v="20"/>
    <x v="20"/>
    <x v="20"/>
    <x v="20"/>
  </r>
  <r>
    <x v="2"/>
    <x v="5"/>
    <x v="5"/>
    <x v="2"/>
    <x v="21"/>
    <x v="21"/>
    <x v="21"/>
    <x v="21"/>
    <x v="21"/>
    <x v="20"/>
    <x v="5"/>
    <x v="20"/>
    <x v="16"/>
    <x v="21"/>
    <x v="13"/>
    <x v="21"/>
    <x v="1"/>
    <x v="1"/>
    <x v="21"/>
    <x v="21"/>
    <x v="20"/>
    <x v="21"/>
    <x v="21"/>
    <x v="21"/>
    <x v="21"/>
  </r>
  <r>
    <x v="2"/>
    <x v="6"/>
    <x v="6"/>
    <x v="2"/>
    <x v="22"/>
    <x v="22"/>
    <x v="22"/>
    <x v="22"/>
    <x v="22"/>
    <x v="21"/>
    <x v="6"/>
    <x v="21"/>
    <x v="4"/>
    <x v="22"/>
    <x v="12"/>
    <x v="22"/>
    <x v="5"/>
    <x v="6"/>
    <x v="22"/>
    <x v="22"/>
    <x v="21"/>
    <x v="22"/>
    <x v="22"/>
    <x v="22"/>
    <x v="22"/>
  </r>
  <r>
    <x v="2"/>
    <x v="7"/>
    <x v="7"/>
    <x v="1"/>
    <x v="23"/>
    <x v="14"/>
    <x v="23"/>
    <x v="23"/>
    <x v="23"/>
    <x v="22"/>
    <x v="6"/>
    <x v="22"/>
    <x v="17"/>
    <x v="23"/>
    <x v="19"/>
    <x v="23"/>
    <x v="1"/>
    <x v="1"/>
    <x v="23"/>
    <x v="23"/>
    <x v="22"/>
    <x v="23"/>
    <x v="23"/>
    <x v="23"/>
    <x v="23"/>
  </r>
  <r>
    <x v="3"/>
    <x v="8"/>
    <x v="8"/>
    <x v="3"/>
    <x v="24"/>
    <x v="23"/>
    <x v="24"/>
    <x v="24"/>
    <x v="24"/>
    <x v="23"/>
    <x v="17"/>
    <x v="23"/>
    <x v="18"/>
    <x v="24"/>
    <x v="20"/>
    <x v="24"/>
    <x v="6"/>
    <x v="7"/>
    <x v="24"/>
    <x v="24"/>
    <x v="23"/>
    <x v="24"/>
    <x v="24"/>
    <x v="24"/>
    <x v="24"/>
  </r>
  <r>
    <x v="3"/>
    <x v="0"/>
    <x v="0"/>
    <x v="0"/>
    <x v="25"/>
    <x v="24"/>
    <x v="25"/>
    <x v="25"/>
    <x v="25"/>
    <x v="24"/>
    <x v="18"/>
    <x v="24"/>
    <x v="19"/>
    <x v="25"/>
    <x v="21"/>
    <x v="25"/>
    <x v="1"/>
    <x v="1"/>
    <x v="25"/>
    <x v="25"/>
    <x v="24"/>
    <x v="25"/>
    <x v="25"/>
    <x v="25"/>
    <x v="25"/>
  </r>
  <r>
    <x v="3"/>
    <x v="1"/>
    <x v="1"/>
    <x v="0"/>
    <x v="26"/>
    <x v="25"/>
    <x v="26"/>
    <x v="26"/>
    <x v="26"/>
    <x v="25"/>
    <x v="19"/>
    <x v="25"/>
    <x v="20"/>
    <x v="26"/>
    <x v="22"/>
    <x v="26"/>
    <x v="1"/>
    <x v="1"/>
    <x v="26"/>
    <x v="26"/>
    <x v="25"/>
    <x v="26"/>
    <x v="26"/>
    <x v="26"/>
    <x v="26"/>
  </r>
  <r>
    <x v="3"/>
    <x v="3"/>
    <x v="3"/>
    <x v="1"/>
    <x v="27"/>
    <x v="26"/>
    <x v="27"/>
    <x v="27"/>
    <x v="27"/>
    <x v="26"/>
    <x v="12"/>
    <x v="13"/>
    <x v="5"/>
    <x v="27"/>
    <x v="11"/>
    <x v="27"/>
    <x v="5"/>
    <x v="8"/>
    <x v="27"/>
    <x v="27"/>
    <x v="26"/>
    <x v="27"/>
    <x v="27"/>
    <x v="27"/>
    <x v="27"/>
  </r>
  <r>
    <x v="3"/>
    <x v="4"/>
    <x v="4"/>
    <x v="2"/>
    <x v="28"/>
    <x v="27"/>
    <x v="28"/>
    <x v="28"/>
    <x v="28"/>
    <x v="27"/>
    <x v="12"/>
    <x v="13"/>
    <x v="17"/>
    <x v="28"/>
    <x v="5"/>
    <x v="28"/>
    <x v="1"/>
    <x v="1"/>
    <x v="28"/>
    <x v="28"/>
    <x v="27"/>
    <x v="28"/>
    <x v="28"/>
    <x v="28"/>
    <x v="28"/>
  </r>
  <r>
    <x v="3"/>
    <x v="7"/>
    <x v="7"/>
    <x v="1"/>
    <x v="29"/>
    <x v="28"/>
    <x v="29"/>
    <x v="29"/>
    <x v="29"/>
    <x v="26"/>
    <x v="6"/>
    <x v="22"/>
    <x v="6"/>
    <x v="6"/>
    <x v="5"/>
    <x v="29"/>
    <x v="1"/>
    <x v="1"/>
    <x v="29"/>
    <x v="6"/>
    <x v="28"/>
    <x v="29"/>
    <x v="29"/>
    <x v="29"/>
    <x v="29"/>
  </r>
  <r>
    <x v="3"/>
    <x v="5"/>
    <x v="5"/>
    <x v="2"/>
    <x v="30"/>
    <x v="29"/>
    <x v="30"/>
    <x v="30"/>
    <x v="30"/>
    <x v="2"/>
    <x v="12"/>
    <x v="13"/>
    <x v="6"/>
    <x v="6"/>
    <x v="23"/>
    <x v="30"/>
    <x v="1"/>
    <x v="1"/>
    <x v="30"/>
    <x v="29"/>
    <x v="29"/>
    <x v="30"/>
    <x v="30"/>
    <x v="30"/>
    <x v="30"/>
  </r>
  <r>
    <x v="3"/>
    <x v="2"/>
    <x v="2"/>
    <x v="1"/>
    <x v="31"/>
    <x v="30"/>
    <x v="31"/>
    <x v="31"/>
    <x v="31"/>
    <x v="28"/>
    <x v="12"/>
    <x v="13"/>
    <x v="6"/>
    <x v="6"/>
    <x v="23"/>
    <x v="30"/>
    <x v="1"/>
    <x v="1"/>
    <x v="31"/>
    <x v="30"/>
    <x v="28"/>
    <x v="31"/>
    <x v="30"/>
    <x v="30"/>
    <x v="30"/>
  </r>
  <r>
    <x v="3"/>
    <x v="6"/>
    <x v="6"/>
    <x v="2"/>
    <x v="32"/>
    <x v="31"/>
    <x v="32"/>
    <x v="32"/>
    <x v="32"/>
    <x v="29"/>
    <x v="12"/>
    <x v="13"/>
    <x v="6"/>
    <x v="6"/>
    <x v="23"/>
    <x v="30"/>
    <x v="1"/>
    <x v="1"/>
    <x v="31"/>
    <x v="30"/>
    <x v="28"/>
    <x v="32"/>
    <x v="30"/>
    <x v="30"/>
    <x v="30"/>
  </r>
  <r>
    <x v="4"/>
    <x v="8"/>
    <x v="8"/>
    <x v="3"/>
    <x v="33"/>
    <x v="32"/>
    <x v="22"/>
    <x v="33"/>
    <x v="33"/>
    <x v="30"/>
    <x v="20"/>
    <x v="26"/>
    <x v="21"/>
    <x v="29"/>
    <x v="24"/>
    <x v="31"/>
    <x v="1"/>
    <x v="1"/>
    <x v="32"/>
    <x v="31"/>
    <x v="30"/>
    <x v="33"/>
    <x v="31"/>
    <x v="31"/>
    <x v="31"/>
  </r>
  <r>
    <x v="4"/>
    <x v="0"/>
    <x v="0"/>
    <x v="0"/>
    <x v="34"/>
    <x v="33"/>
    <x v="33"/>
    <x v="34"/>
    <x v="34"/>
    <x v="31"/>
    <x v="21"/>
    <x v="27"/>
    <x v="22"/>
    <x v="30"/>
    <x v="25"/>
    <x v="32"/>
    <x v="1"/>
    <x v="1"/>
    <x v="33"/>
    <x v="32"/>
    <x v="31"/>
    <x v="34"/>
    <x v="10"/>
    <x v="32"/>
    <x v="32"/>
  </r>
  <r>
    <x v="4"/>
    <x v="1"/>
    <x v="1"/>
    <x v="0"/>
    <x v="35"/>
    <x v="34"/>
    <x v="34"/>
    <x v="35"/>
    <x v="35"/>
    <x v="32"/>
    <x v="22"/>
    <x v="28"/>
    <x v="10"/>
    <x v="31"/>
    <x v="26"/>
    <x v="33"/>
    <x v="1"/>
    <x v="1"/>
    <x v="34"/>
    <x v="33"/>
    <x v="32"/>
    <x v="35"/>
    <x v="32"/>
    <x v="33"/>
    <x v="33"/>
  </r>
  <r>
    <x v="4"/>
    <x v="3"/>
    <x v="3"/>
    <x v="1"/>
    <x v="36"/>
    <x v="35"/>
    <x v="35"/>
    <x v="36"/>
    <x v="36"/>
    <x v="33"/>
    <x v="9"/>
    <x v="29"/>
    <x v="23"/>
    <x v="32"/>
    <x v="27"/>
    <x v="34"/>
    <x v="1"/>
    <x v="1"/>
    <x v="35"/>
    <x v="34"/>
    <x v="33"/>
    <x v="36"/>
    <x v="33"/>
    <x v="34"/>
    <x v="34"/>
  </r>
  <r>
    <x v="4"/>
    <x v="5"/>
    <x v="5"/>
    <x v="2"/>
    <x v="37"/>
    <x v="36"/>
    <x v="36"/>
    <x v="37"/>
    <x v="37"/>
    <x v="34"/>
    <x v="2"/>
    <x v="30"/>
    <x v="24"/>
    <x v="33"/>
    <x v="28"/>
    <x v="35"/>
    <x v="1"/>
    <x v="1"/>
    <x v="36"/>
    <x v="35"/>
    <x v="34"/>
    <x v="37"/>
    <x v="34"/>
    <x v="35"/>
    <x v="35"/>
  </r>
  <r>
    <x v="4"/>
    <x v="7"/>
    <x v="7"/>
    <x v="1"/>
    <x v="38"/>
    <x v="37"/>
    <x v="37"/>
    <x v="38"/>
    <x v="38"/>
    <x v="35"/>
    <x v="4"/>
    <x v="31"/>
    <x v="25"/>
    <x v="34"/>
    <x v="29"/>
    <x v="36"/>
    <x v="1"/>
    <x v="1"/>
    <x v="37"/>
    <x v="36"/>
    <x v="35"/>
    <x v="38"/>
    <x v="35"/>
    <x v="36"/>
    <x v="36"/>
  </r>
  <r>
    <x v="4"/>
    <x v="4"/>
    <x v="4"/>
    <x v="2"/>
    <x v="39"/>
    <x v="38"/>
    <x v="38"/>
    <x v="39"/>
    <x v="39"/>
    <x v="36"/>
    <x v="5"/>
    <x v="32"/>
    <x v="11"/>
    <x v="35"/>
    <x v="30"/>
    <x v="37"/>
    <x v="1"/>
    <x v="1"/>
    <x v="38"/>
    <x v="37"/>
    <x v="36"/>
    <x v="39"/>
    <x v="36"/>
    <x v="37"/>
    <x v="37"/>
  </r>
  <r>
    <x v="4"/>
    <x v="2"/>
    <x v="2"/>
    <x v="1"/>
    <x v="40"/>
    <x v="39"/>
    <x v="39"/>
    <x v="40"/>
    <x v="40"/>
    <x v="37"/>
    <x v="11"/>
    <x v="33"/>
    <x v="5"/>
    <x v="36"/>
    <x v="31"/>
    <x v="38"/>
    <x v="1"/>
    <x v="1"/>
    <x v="13"/>
    <x v="38"/>
    <x v="37"/>
    <x v="40"/>
    <x v="37"/>
    <x v="38"/>
    <x v="38"/>
  </r>
  <r>
    <x v="4"/>
    <x v="6"/>
    <x v="6"/>
    <x v="2"/>
    <x v="41"/>
    <x v="40"/>
    <x v="29"/>
    <x v="41"/>
    <x v="41"/>
    <x v="38"/>
    <x v="12"/>
    <x v="13"/>
    <x v="16"/>
    <x v="37"/>
    <x v="30"/>
    <x v="39"/>
    <x v="1"/>
    <x v="1"/>
    <x v="39"/>
    <x v="39"/>
    <x v="38"/>
    <x v="41"/>
    <x v="38"/>
    <x v="39"/>
    <x v="39"/>
  </r>
  <r>
    <x v="5"/>
    <x v="8"/>
    <x v="8"/>
    <x v="3"/>
    <x v="42"/>
    <x v="41"/>
    <x v="11"/>
    <x v="42"/>
    <x v="42"/>
    <x v="39"/>
    <x v="23"/>
    <x v="34"/>
    <x v="26"/>
    <x v="38"/>
    <x v="32"/>
    <x v="40"/>
    <x v="1"/>
    <x v="1"/>
    <x v="40"/>
    <x v="40"/>
    <x v="39"/>
    <x v="29"/>
    <x v="39"/>
    <x v="40"/>
    <x v="40"/>
  </r>
  <r>
    <x v="5"/>
    <x v="0"/>
    <x v="0"/>
    <x v="0"/>
    <x v="43"/>
    <x v="42"/>
    <x v="40"/>
    <x v="43"/>
    <x v="43"/>
    <x v="40"/>
    <x v="24"/>
    <x v="35"/>
    <x v="18"/>
    <x v="39"/>
    <x v="33"/>
    <x v="41"/>
    <x v="1"/>
    <x v="1"/>
    <x v="41"/>
    <x v="41"/>
    <x v="40"/>
    <x v="42"/>
    <x v="40"/>
    <x v="41"/>
    <x v="41"/>
  </r>
  <r>
    <x v="5"/>
    <x v="1"/>
    <x v="1"/>
    <x v="0"/>
    <x v="44"/>
    <x v="43"/>
    <x v="41"/>
    <x v="44"/>
    <x v="44"/>
    <x v="41"/>
    <x v="25"/>
    <x v="36"/>
    <x v="27"/>
    <x v="40"/>
    <x v="34"/>
    <x v="42"/>
    <x v="1"/>
    <x v="1"/>
    <x v="42"/>
    <x v="42"/>
    <x v="41"/>
    <x v="43"/>
    <x v="41"/>
    <x v="42"/>
    <x v="42"/>
  </r>
  <r>
    <x v="5"/>
    <x v="3"/>
    <x v="3"/>
    <x v="1"/>
    <x v="45"/>
    <x v="44"/>
    <x v="42"/>
    <x v="45"/>
    <x v="45"/>
    <x v="42"/>
    <x v="11"/>
    <x v="37"/>
    <x v="28"/>
    <x v="41"/>
    <x v="35"/>
    <x v="43"/>
    <x v="1"/>
    <x v="1"/>
    <x v="43"/>
    <x v="43"/>
    <x v="42"/>
    <x v="44"/>
    <x v="42"/>
    <x v="43"/>
    <x v="43"/>
  </r>
  <r>
    <x v="5"/>
    <x v="4"/>
    <x v="4"/>
    <x v="2"/>
    <x v="46"/>
    <x v="45"/>
    <x v="43"/>
    <x v="46"/>
    <x v="46"/>
    <x v="43"/>
    <x v="6"/>
    <x v="38"/>
    <x v="16"/>
    <x v="42"/>
    <x v="4"/>
    <x v="44"/>
    <x v="1"/>
    <x v="1"/>
    <x v="12"/>
    <x v="44"/>
    <x v="43"/>
    <x v="45"/>
    <x v="43"/>
    <x v="44"/>
    <x v="44"/>
  </r>
  <r>
    <x v="5"/>
    <x v="7"/>
    <x v="7"/>
    <x v="1"/>
    <x v="47"/>
    <x v="46"/>
    <x v="44"/>
    <x v="47"/>
    <x v="47"/>
    <x v="44"/>
    <x v="3"/>
    <x v="39"/>
    <x v="25"/>
    <x v="43"/>
    <x v="36"/>
    <x v="45"/>
    <x v="1"/>
    <x v="1"/>
    <x v="44"/>
    <x v="45"/>
    <x v="44"/>
    <x v="46"/>
    <x v="44"/>
    <x v="45"/>
    <x v="45"/>
  </r>
  <r>
    <x v="5"/>
    <x v="5"/>
    <x v="5"/>
    <x v="2"/>
    <x v="48"/>
    <x v="47"/>
    <x v="45"/>
    <x v="48"/>
    <x v="48"/>
    <x v="45"/>
    <x v="9"/>
    <x v="40"/>
    <x v="24"/>
    <x v="44"/>
    <x v="37"/>
    <x v="46"/>
    <x v="1"/>
    <x v="1"/>
    <x v="45"/>
    <x v="46"/>
    <x v="45"/>
    <x v="47"/>
    <x v="45"/>
    <x v="46"/>
    <x v="46"/>
  </r>
  <r>
    <x v="5"/>
    <x v="6"/>
    <x v="6"/>
    <x v="2"/>
    <x v="49"/>
    <x v="48"/>
    <x v="46"/>
    <x v="49"/>
    <x v="49"/>
    <x v="46"/>
    <x v="26"/>
    <x v="41"/>
    <x v="29"/>
    <x v="45"/>
    <x v="38"/>
    <x v="47"/>
    <x v="1"/>
    <x v="1"/>
    <x v="38"/>
    <x v="47"/>
    <x v="46"/>
    <x v="48"/>
    <x v="3"/>
    <x v="47"/>
    <x v="47"/>
  </r>
  <r>
    <x v="5"/>
    <x v="2"/>
    <x v="2"/>
    <x v="1"/>
    <x v="50"/>
    <x v="49"/>
    <x v="47"/>
    <x v="50"/>
    <x v="50"/>
    <x v="47"/>
    <x v="11"/>
    <x v="42"/>
    <x v="11"/>
    <x v="46"/>
    <x v="12"/>
    <x v="48"/>
    <x v="1"/>
    <x v="1"/>
    <x v="46"/>
    <x v="48"/>
    <x v="47"/>
    <x v="49"/>
    <x v="46"/>
    <x v="48"/>
    <x v="48"/>
  </r>
  <r>
    <x v="5"/>
    <x v="9"/>
    <x v="9"/>
    <x v="1"/>
    <x v="51"/>
    <x v="50"/>
    <x v="31"/>
    <x v="51"/>
    <x v="51"/>
    <x v="20"/>
    <x v="5"/>
    <x v="43"/>
    <x v="30"/>
    <x v="47"/>
    <x v="38"/>
    <x v="49"/>
    <x v="1"/>
    <x v="1"/>
    <x v="47"/>
    <x v="5"/>
    <x v="48"/>
    <x v="50"/>
    <x v="47"/>
    <x v="49"/>
    <x v="49"/>
  </r>
  <r>
    <x v="5"/>
    <x v="10"/>
    <x v="10"/>
    <x v="1"/>
    <x v="52"/>
    <x v="51"/>
    <x v="47"/>
    <x v="52"/>
    <x v="52"/>
    <x v="48"/>
    <x v="5"/>
    <x v="44"/>
    <x v="5"/>
    <x v="48"/>
    <x v="4"/>
    <x v="50"/>
    <x v="1"/>
    <x v="1"/>
    <x v="48"/>
    <x v="49"/>
    <x v="49"/>
    <x v="51"/>
    <x v="48"/>
    <x v="50"/>
    <x v="50"/>
  </r>
  <r>
    <x v="6"/>
    <x v="8"/>
    <x v="8"/>
    <x v="3"/>
    <x v="53"/>
    <x v="52"/>
    <x v="48"/>
    <x v="53"/>
    <x v="53"/>
    <x v="39"/>
    <x v="27"/>
    <x v="45"/>
    <x v="31"/>
    <x v="49"/>
    <x v="39"/>
    <x v="51"/>
    <x v="1"/>
    <x v="1"/>
    <x v="49"/>
    <x v="50"/>
    <x v="50"/>
    <x v="52"/>
    <x v="49"/>
    <x v="51"/>
    <x v="51"/>
  </r>
  <r>
    <x v="6"/>
    <x v="0"/>
    <x v="0"/>
    <x v="0"/>
    <x v="54"/>
    <x v="53"/>
    <x v="49"/>
    <x v="54"/>
    <x v="54"/>
    <x v="49"/>
    <x v="28"/>
    <x v="46"/>
    <x v="32"/>
    <x v="50"/>
    <x v="40"/>
    <x v="52"/>
    <x v="1"/>
    <x v="1"/>
    <x v="50"/>
    <x v="51"/>
    <x v="51"/>
    <x v="53"/>
    <x v="50"/>
    <x v="52"/>
    <x v="52"/>
  </r>
  <r>
    <x v="6"/>
    <x v="1"/>
    <x v="1"/>
    <x v="0"/>
    <x v="55"/>
    <x v="54"/>
    <x v="50"/>
    <x v="55"/>
    <x v="55"/>
    <x v="50"/>
    <x v="29"/>
    <x v="47"/>
    <x v="33"/>
    <x v="51"/>
    <x v="41"/>
    <x v="53"/>
    <x v="1"/>
    <x v="1"/>
    <x v="51"/>
    <x v="52"/>
    <x v="52"/>
    <x v="54"/>
    <x v="51"/>
    <x v="53"/>
    <x v="53"/>
  </r>
  <r>
    <x v="6"/>
    <x v="4"/>
    <x v="4"/>
    <x v="2"/>
    <x v="56"/>
    <x v="55"/>
    <x v="51"/>
    <x v="56"/>
    <x v="56"/>
    <x v="51"/>
    <x v="30"/>
    <x v="48"/>
    <x v="11"/>
    <x v="52"/>
    <x v="13"/>
    <x v="54"/>
    <x v="1"/>
    <x v="1"/>
    <x v="52"/>
    <x v="53"/>
    <x v="48"/>
    <x v="55"/>
    <x v="52"/>
    <x v="54"/>
    <x v="54"/>
  </r>
  <r>
    <x v="6"/>
    <x v="3"/>
    <x v="3"/>
    <x v="1"/>
    <x v="57"/>
    <x v="56"/>
    <x v="52"/>
    <x v="57"/>
    <x v="57"/>
    <x v="52"/>
    <x v="26"/>
    <x v="49"/>
    <x v="24"/>
    <x v="53"/>
    <x v="42"/>
    <x v="55"/>
    <x v="1"/>
    <x v="1"/>
    <x v="53"/>
    <x v="54"/>
    <x v="53"/>
    <x v="56"/>
    <x v="53"/>
    <x v="55"/>
    <x v="55"/>
  </r>
  <r>
    <x v="6"/>
    <x v="7"/>
    <x v="7"/>
    <x v="1"/>
    <x v="58"/>
    <x v="57"/>
    <x v="53"/>
    <x v="58"/>
    <x v="58"/>
    <x v="53"/>
    <x v="3"/>
    <x v="50"/>
    <x v="29"/>
    <x v="54"/>
    <x v="42"/>
    <x v="56"/>
    <x v="1"/>
    <x v="1"/>
    <x v="54"/>
    <x v="55"/>
    <x v="54"/>
    <x v="57"/>
    <x v="54"/>
    <x v="56"/>
    <x v="56"/>
  </r>
  <r>
    <x v="6"/>
    <x v="9"/>
    <x v="9"/>
    <x v="1"/>
    <x v="59"/>
    <x v="58"/>
    <x v="54"/>
    <x v="59"/>
    <x v="59"/>
    <x v="54"/>
    <x v="6"/>
    <x v="51"/>
    <x v="17"/>
    <x v="55"/>
    <x v="19"/>
    <x v="57"/>
    <x v="1"/>
    <x v="1"/>
    <x v="55"/>
    <x v="56"/>
    <x v="55"/>
    <x v="58"/>
    <x v="55"/>
    <x v="57"/>
    <x v="57"/>
  </r>
  <r>
    <x v="6"/>
    <x v="5"/>
    <x v="5"/>
    <x v="2"/>
    <x v="60"/>
    <x v="59"/>
    <x v="55"/>
    <x v="60"/>
    <x v="60"/>
    <x v="55"/>
    <x v="12"/>
    <x v="13"/>
    <x v="16"/>
    <x v="56"/>
    <x v="30"/>
    <x v="58"/>
    <x v="1"/>
    <x v="1"/>
    <x v="56"/>
    <x v="57"/>
    <x v="37"/>
    <x v="59"/>
    <x v="56"/>
    <x v="58"/>
    <x v="58"/>
  </r>
  <r>
    <x v="6"/>
    <x v="6"/>
    <x v="6"/>
    <x v="2"/>
    <x v="61"/>
    <x v="60"/>
    <x v="56"/>
    <x v="61"/>
    <x v="61"/>
    <x v="56"/>
    <x v="12"/>
    <x v="13"/>
    <x v="6"/>
    <x v="6"/>
    <x v="23"/>
    <x v="30"/>
    <x v="1"/>
    <x v="1"/>
    <x v="14"/>
    <x v="58"/>
    <x v="56"/>
    <x v="60"/>
    <x v="30"/>
    <x v="30"/>
    <x v="30"/>
  </r>
  <r>
    <x v="6"/>
    <x v="2"/>
    <x v="2"/>
    <x v="1"/>
    <x v="62"/>
    <x v="61"/>
    <x v="29"/>
    <x v="62"/>
    <x v="62"/>
    <x v="57"/>
    <x v="6"/>
    <x v="52"/>
    <x v="17"/>
    <x v="57"/>
    <x v="19"/>
    <x v="59"/>
    <x v="1"/>
    <x v="1"/>
    <x v="57"/>
    <x v="59"/>
    <x v="57"/>
    <x v="61"/>
    <x v="57"/>
    <x v="59"/>
    <x v="59"/>
  </r>
  <r>
    <x v="6"/>
    <x v="10"/>
    <x v="10"/>
    <x v="1"/>
    <x v="63"/>
    <x v="62"/>
    <x v="57"/>
    <x v="63"/>
    <x v="63"/>
    <x v="58"/>
    <x v="30"/>
    <x v="53"/>
    <x v="17"/>
    <x v="58"/>
    <x v="4"/>
    <x v="60"/>
    <x v="1"/>
    <x v="1"/>
    <x v="58"/>
    <x v="60"/>
    <x v="58"/>
    <x v="62"/>
    <x v="58"/>
    <x v="60"/>
    <x v="60"/>
  </r>
  <r>
    <x v="6"/>
    <x v="11"/>
    <x v="11"/>
    <x v="3"/>
    <x v="64"/>
    <x v="63"/>
    <x v="58"/>
    <x v="64"/>
    <x v="64"/>
    <x v="30"/>
    <x v="12"/>
    <x v="13"/>
    <x v="6"/>
    <x v="6"/>
    <x v="23"/>
    <x v="30"/>
    <x v="1"/>
    <x v="1"/>
    <x v="31"/>
    <x v="29"/>
    <x v="59"/>
    <x v="63"/>
    <x v="30"/>
    <x v="30"/>
    <x v="30"/>
  </r>
  <r>
    <x v="6"/>
    <x v="12"/>
    <x v="12"/>
    <x v="0"/>
    <x v="65"/>
    <x v="64"/>
    <x v="59"/>
    <x v="65"/>
    <x v="65"/>
    <x v="59"/>
    <x v="12"/>
    <x v="13"/>
    <x v="6"/>
    <x v="6"/>
    <x v="23"/>
    <x v="30"/>
    <x v="1"/>
    <x v="1"/>
    <x v="30"/>
    <x v="6"/>
    <x v="59"/>
    <x v="64"/>
    <x v="30"/>
    <x v="30"/>
    <x v="30"/>
  </r>
  <r>
    <x v="6"/>
    <x v="13"/>
    <x v="13"/>
    <x v="0"/>
    <x v="66"/>
    <x v="65"/>
    <x v="60"/>
    <x v="66"/>
    <x v="66"/>
    <x v="60"/>
    <x v="12"/>
    <x v="13"/>
    <x v="6"/>
    <x v="6"/>
    <x v="23"/>
    <x v="30"/>
    <x v="1"/>
    <x v="1"/>
    <x v="31"/>
    <x v="6"/>
    <x v="60"/>
    <x v="65"/>
    <x v="30"/>
    <x v="30"/>
    <x v="30"/>
  </r>
  <r>
    <x v="6"/>
    <x v="14"/>
    <x v="14"/>
    <x v="2"/>
    <x v="67"/>
    <x v="66"/>
    <x v="61"/>
    <x v="67"/>
    <x v="67"/>
    <x v="61"/>
    <x v="12"/>
    <x v="13"/>
    <x v="6"/>
    <x v="6"/>
    <x v="23"/>
    <x v="30"/>
    <x v="1"/>
    <x v="1"/>
    <x v="30"/>
    <x v="29"/>
    <x v="29"/>
    <x v="66"/>
    <x v="30"/>
    <x v="30"/>
    <x v="30"/>
  </r>
  <r>
    <x v="6"/>
    <x v="15"/>
    <x v="15"/>
    <x v="2"/>
    <x v="68"/>
    <x v="67"/>
    <x v="62"/>
    <x v="68"/>
    <x v="68"/>
    <x v="62"/>
    <x v="12"/>
    <x v="13"/>
    <x v="6"/>
    <x v="6"/>
    <x v="23"/>
    <x v="30"/>
    <x v="1"/>
    <x v="1"/>
    <x v="59"/>
    <x v="29"/>
    <x v="61"/>
    <x v="67"/>
    <x v="30"/>
    <x v="30"/>
    <x v="30"/>
  </r>
  <r>
    <x v="6"/>
    <x v="16"/>
    <x v="16"/>
    <x v="2"/>
    <x v="69"/>
    <x v="68"/>
    <x v="63"/>
    <x v="69"/>
    <x v="69"/>
    <x v="63"/>
    <x v="12"/>
    <x v="13"/>
    <x v="6"/>
    <x v="6"/>
    <x v="23"/>
    <x v="30"/>
    <x v="1"/>
    <x v="1"/>
    <x v="59"/>
    <x v="29"/>
    <x v="61"/>
    <x v="67"/>
    <x v="30"/>
    <x v="30"/>
    <x v="30"/>
  </r>
  <r>
    <x v="7"/>
    <x v="8"/>
    <x v="8"/>
    <x v="3"/>
    <x v="70"/>
    <x v="69"/>
    <x v="64"/>
    <x v="70"/>
    <x v="70"/>
    <x v="64"/>
    <x v="31"/>
    <x v="54"/>
    <x v="34"/>
    <x v="59"/>
    <x v="43"/>
    <x v="61"/>
    <x v="1"/>
    <x v="1"/>
    <x v="60"/>
    <x v="61"/>
    <x v="62"/>
    <x v="68"/>
    <x v="5"/>
    <x v="61"/>
    <x v="61"/>
  </r>
  <r>
    <x v="7"/>
    <x v="0"/>
    <x v="0"/>
    <x v="0"/>
    <x v="71"/>
    <x v="70"/>
    <x v="65"/>
    <x v="71"/>
    <x v="71"/>
    <x v="65"/>
    <x v="32"/>
    <x v="55"/>
    <x v="35"/>
    <x v="60"/>
    <x v="26"/>
    <x v="62"/>
    <x v="1"/>
    <x v="1"/>
    <x v="61"/>
    <x v="62"/>
    <x v="63"/>
    <x v="69"/>
    <x v="59"/>
    <x v="62"/>
    <x v="62"/>
  </r>
  <r>
    <x v="7"/>
    <x v="1"/>
    <x v="1"/>
    <x v="0"/>
    <x v="72"/>
    <x v="71"/>
    <x v="66"/>
    <x v="72"/>
    <x v="72"/>
    <x v="66"/>
    <x v="33"/>
    <x v="56"/>
    <x v="36"/>
    <x v="61"/>
    <x v="44"/>
    <x v="63"/>
    <x v="1"/>
    <x v="1"/>
    <x v="62"/>
    <x v="9"/>
    <x v="64"/>
    <x v="70"/>
    <x v="60"/>
    <x v="63"/>
    <x v="63"/>
  </r>
  <r>
    <x v="7"/>
    <x v="11"/>
    <x v="11"/>
    <x v="3"/>
    <x v="73"/>
    <x v="72"/>
    <x v="67"/>
    <x v="73"/>
    <x v="73"/>
    <x v="37"/>
    <x v="12"/>
    <x v="13"/>
    <x v="11"/>
    <x v="62"/>
    <x v="19"/>
    <x v="64"/>
    <x v="1"/>
    <x v="1"/>
    <x v="63"/>
    <x v="63"/>
    <x v="65"/>
    <x v="71"/>
    <x v="61"/>
    <x v="64"/>
    <x v="64"/>
  </r>
  <r>
    <x v="7"/>
    <x v="3"/>
    <x v="3"/>
    <x v="1"/>
    <x v="74"/>
    <x v="73"/>
    <x v="68"/>
    <x v="74"/>
    <x v="74"/>
    <x v="67"/>
    <x v="30"/>
    <x v="57"/>
    <x v="5"/>
    <x v="63"/>
    <x v="12"/>
    <x v="65"/>
    <x v="1"/>
    <x v="1"/>
    <x v="64"/>
    <x v="20"/>
    <x v="66"/>
    <x v="72"/>
    <x v="62"/>
    <x v="65"/>
    <x v="65"/>
  </r>
  <r>
    <x v="7"/>
    <x v="4"/>
    <x v="4"/>
    <x v="2"/>
    <x v="75"/>
    <x v="74"/>
    <x v="69"/>
    <x v="75"/>
    <x v="75"/>
    <x v="68"/>
    <x v="6"/>
    <x v="58"/>
    <x v="6"/>
    <x v="6"/>
    <x v="5"/>
    <x v="66"/>
    <x v="1"/>
    <x v="1"/>
    <x v="65"/>
    <x v="64"/>
    <x v="67"/>
    <x v="73"/>
    <x v="63"/>
    <x v="66"/>
    <x v="66"/>
  </r>
  <r>
    <x v="7"/>
    <x v="2"/>
    <x v="2"/>
    <x v="1"/>
    <x v="76"/>
    <x v="75"/>
    <x v="70"/>
    <x v="76"/>
    <x v="76"/>
    <x v="69"/>
    <x v="11"/>
    <x v="59"/>
    <x v="5"/>
    <x v="64"/>
    <x v="31"/>
    <x v="67"/>
    <x v="1"/>
    <x v="1"/>
    <x v="66"/>
    <x v="65"/>
    <x v="68"/>
    <x v="74"/>
    <x v="64"/>
    <x v="67"/>
    <x v="67"/>
  </r>
  <r>
    <x v="7"/>
    <x v="7"/>
    <x v="7"/>
    <x v="1"/>
    <x v="77"/>
    <x v="76"/>
    <x v="19"/>
    <x v="77"/>
    <x v="77"/>
    <x v="70"/>
    <x v="11"/>
    <x v="60"/>
    <x v="30"/>
    <x v="65"/>
    <x v="42"/>
    <x v="68"/>
    <x v="1"/>
    <x v="1"/>
    <x v="67"/>
    <x v="66"/>
    <x v="53"/>
    <x v="75"/>
    <x v="65"/>
    <x v="68"/>
    <x v="68"/>
  </r>
  <r>
    <x v="7"/>
    <x v="6"/>
    <x v="6"/>
    <x v="2"/>
    <x v="78"/>
    <x v="77"/>
    <x v="71"/>
    <x v="78"/>
    <x v="78"/>
    <x v="34"/>
    <x v="6"/>
    <x v="61"/>
    <x v="6"/>
    <x v="6"/>
    <x v="5"/>
    <x v="28"/>
    <x v="1"/>
    <x v="1"/>
    <x v="65"/>
    <x v="67"/>
    <x v="56"/>
    <x v="76"/>
    <x v="66"/>
    <x v="69"/>
    <x v="69"/>
  </r>
  <r>
    <x v="7"/>
    <x v="10"/>
    <x v="10"/>
    <x v="1"/>
    <x v="79"/>
    <x v="61"/>
    <x v="72"/>
    <x v="79"/>
    <x v="79"/>
    <x v="71"/>
    <x v="26"/>
    <x v="62"/>
    <x v="17"/>
    <x v="66"/>
    <x v="30"/>
    <x v="69"/>
    <x v="1"/>
    <x v="1"/>
    <x v="68"/>
    <x v="68"/>
    <x v="69"/>
    <x v="77"/>
    <x v="67"/>
    <x v="70"/>
    <x v="70"/>
  </r>
  <r>
    <x v="7"/>
    <x v="5"/>
    <x v="5"/>
    <x v="2"/>
    <x v="80"/>
    <x v="78"/>
    <x v="73"/>
    <x v="80"/>
    <x v="80"/>
    <x v="6"/>
    <x v="12"/>
    <x v="13"/>
    <x v="17"/>
    <x v="67"/>
    <x v="5"/>
    <x v="70"/>
    <x v="1"/>
    <x v="1"/>
    <x v="22"/>
    <x v="69"/>
    <x v="70"/>
    <x v="78"/>
    <x v="68"/>
    <x v="71"/>
    <x v="71"/>
  </r>
  <r>
    <x v="7"/>
    <x v="9"/>
    <x v="9"/>
    <x v="1"/>
    <x v="81"/>
    <x v="79"/>
    <x v="74"/>
    <x v="81"/>
    <x v="81"/>
    <x v="72"/>
    <x v="30"/>
    <x v="63"/>
    <x v="6"/>
    <x v="6"/>
    <x v="30"/>
    <x v="71"/>
    <x v="1"/>
    <x v="1"/>
    <x v="23"/>
    <x v="23"/>
    <x v="22"/>
    <x v="79"/>
    <x v="69"/>
    <x v="72"/>
    <x v="72"/>
  </r>
  <r>
    <x v="7"/>
    <x v="13"/>
    <x v="13"/>
    <x v="0"/>
    <x v="82"/>
    <x v="80"/>
    <x v="75"/>
    <x v="82"/>
    <x v="82"/>
    <x v="73"/>
    <x v="12"/>
    <x v="13"/>
    <x v="17"/>
    <x v="55"/>
    <x v="5"/>
    <x v="72"/>
    <x v="1"/>
    <x v="1"/>
    <x v="69"/>
    <x v="60"/>
    <x v="71"/>
    <x v="80"/>
    <x v="70"/>
    <x v="73"/>
    <x v="73"/>
  </r>
  <r>
    <x v="7"/>
    <x v="12"/>
    <x v="12"/>
    <x v="0"/>
    <x v="83"/>
    <x v="81"/>
    <x v="72"/>
    <x v="83"/>
    <x v="83"/>
    <x v="74"/>
    <x v="12"/>
    <x v="13"/>
    <x v="4"/>
    <x v="68"/>
    <x v="13"/>
    <x v="73"/>
    <x v="1"/>
    <x v="1"/>
    <x v="70"/>
    <x v="70"/>
    <x v="72"/>
    <x v="39"/>
    <x v="71"/>
    <x v="74"/>
    <x v="74"/>
  </r>
  <r>
    <x v="7"/>
    <x v="14"/>
    <x v="14"/>
    <x v="2"/>
    <x v="84"/>
    <x v="66"/>
    <x v="76"/>
    <x v="84"/>
    <x v="84"/>
    <x v="75"/>
    <x v="12"/>
    <x v="13"/>
    <x v="6"/>
    <x v="6"/>
    <x v="23"/>
    <x v="30"/>
    <x v="1"/>
    <x v="1"/>
    <x v="59"/>
    <x v="29"/>
    <x v="61"/>
    <x v="67"/>
    <x v="30"/>
    <x v="30"/>
    <x v="30"/>
  </r>
  <r>
    <x v="7"/>
    <x v="15"/>
    <x v="15"/>
    <x v="2"/>
    <x v="85"/>
    <x v="66"/>
    <x v="77"/>
    <x v="85"/>
    <x v="85"/>
    <x v="1"/>
    <x v="12"/>
    <x v="13"/>
    <x v="6"/>
    <x v="6"/>
    <x v="23"/>
    <x v="30"/>
    <x v="1"/>
    <x v="1"/>
    <x v="59"/>
    <x v="29"/>
    <x v="61"/>
    <x v="67"/>
    <x v="30"/>
    <x v="30"/>
    <x v="30"/>
  </r>
  <r>
    <x v="7"/>
    <x v="16"/>
    <x v="16"/>
    <x v="2"/>
    <x v="86"/>
    <x v="68"/>
    <x v="63"/>
    <x v="69"/>
    <x v="69"/>
    <x v="63"/>
    <x v="12"/>
    <x v="13"/>
    <x v="6"/>
    <x v="6"/>
    <x v="23"/>
    <x v="30"/>
    <x v="1"/>
    <x v="1"/>
    <x v="59"/>
    <x v="29"/>
    <x v="61"/>
    <x v="67"/>
    <x v="30"/>
    <x v="30"/>
    <x v="30"/>
  </r>
  <r>
    <x v="8"/>
    <x v="8"/>
    <x v="8"/>
    <x v="3"/>
    <x v="87"/>
    <x v="82"/>
    <x v="11"/>
    <x v="86"/>
    <x v="86"/>
    <x v="76"/>
    <x v="34"/>
    <x v="64"/>
    <x v="37"/>
    <x v="69"/>
    <x v="45"/>
    <x v="74"/>
    <x v="1"/>
    <x v="1"/>
    <x v="71"/>
    <x v="71"/>
    <x v="73"/>
    <x v="81"/>
    <x v="72"/>
    <x v="75"/>
    <x v="75"/>
  </r>
  <r>
    <x v="8"/>
    <x v="0"/>
    <x v="0"/>
    <x v="0"/>
    <x v="88"/>
    <x v="83"/>
    <x v="78"/>
    <x v="87"/>
    <x v="87"/>
    <x v="77"/>
    <x v="35"/>
    <x v="65"/>
    <x v="38"/>
    <x v="70"/>
    <x v="46"/>
    <x v="75"/>
    <x v="1"/>
    <x v="1"/>
    <x v="72"/>
    <x v="72"/>
    <x v="74"/>
    <x v="82"/>
    <x v="73"/>
    <x v="76"/>
    <x v="76"/>
  </r>
  <r>
    <x v="8"/>
    <x v="1"/>
    <x v="1"/>
    <x v="0"/>
    <x v="89"/>
    <x v="84"/>
    <x v="3"/>
    <x v="88"/>
    <x v="88"/>
    <x v="78"/>
    <x v="33"/>
    <x v="66"/>
    <x v="28"/>
    <x v="71"/>
    <x v="9"/>
    <x v="76"/>
    <x v="1"/>
    <x v="1"/>
    <x v="73"/>
    <x v="73"/>
    <x v="75"/>
    <x v="83"/>
    <x v="74"/>
    <x v="77"/>
    <x v="77"/>
  </r>
  <r>
    <x v="8"/>
    <x v="4"/>
    <x v="4"/>
    <x v="2"/>
    <x v="90"/>
    <x v="85"/>
    <x v="42"/>
    <x v="89"/>
    <x v="89"/>
    <x v="79"/>
    <x v="26"/>
    <x v="67"/>
    <x v="5"/>
    <x v="72"/>
    <x v="13"/>
    <x v="77"/>
    <x v="1"/>
    <x v="1"/>
    <x v="57"/>
    <x v="74"/>
    <x v="76"/>
    <x v="84"/>
    <x v="52"/>
    <x v="78"/>
    <x v="3"/>
  </r>
  <r>
    <x v="8"/>
    <x v="3"/>
    <x v="3"/>
    <x v="1"/>
    <x v="91"/>
    <x v="86"/>
    <x v="79"/>
    <x v="90"/>
    <x v="90"/>
    <x v="80"/>
    <x v="3"/>
    <x v="68"/>
    <x v="3"/>
    <x v="73"/>
    <x v="3"/>
    <x v="78"/>
    <x v="1"/>
    <x v="1"/>
    <x v="11"/>
    <x v="75"/>
    <x v="77"/>
    <x v="85"/>
    <x v="65"/>
    <x v="79"/>
    <x v="78"/>
  </r>
  <r>
    <x v="8"/>
    <x v="7"/>
    <x v="7"/>
    <x v="1"/>
    <x v="92"/>
    <x v="87"/>
    <x v="80"/>
    <x v="91"/>
    <x v="91"/>
    <x v="1"/>
    <x v="26"/>
    <x v="69"/>
    <x v="12"/>
    <x v="74"/>
    <x v="31"/>
    <x v="79"/>
    <x v="1"/>
    <x v="1"/>
    <x v="66"/>
    <x v="5"/>
    <x v="78"/>
    <x v="86"/>
    <x v="75"/>
    <x v="80"/>
    <x v="79"/>
  </r>
  <r>
    <x v="8"/>
    <x v="2"/>
    <x v="2"/>
    <x v="1"/>
    <x v="93"/>
    <x v="88"/>
    <x v="81"/>
    <x v="92"/>
    <x v="92"/>
    <x v="81"/>
    <x v="12"/>
    <x v="13"/>
    <x v="11"/>
    <x v="75"/>
    <x v="19"/>
    <x v="80"/>
    <x v="1"/>
    <x v="1"/>
    <x v="38"/>
    <x v="76"/>
    <x v="79"/>
    <x v="87"/>
    <x v="21"/>
    <x v="81"/>
    <x v="80"/>
  </r>
  <r>
    <x v="8"/>
    <x v="6"/>
    <x v="6"/>
    <x v="2"/>
    <x v="94"/>
    <x v="89"/>
    <x v="82"/>
    <x v="93"/>
    <x v="93"/>
    <x v="82"/>
    <x v="12"/>
    <x v="13"/>
    <x v="6"/>
    <x v="6"/>
    <x v="23"/>
    <x v="30"/>
    <x v="1"/>
    <x v="1"/>
    <x v="74"/>
    <x v="27"/>
    <x v="80"/>
    <x v="88"/>
    <x v="30"/>
    <x v="30"/>
    <x v="30"/>
  </r>
  <r>
    <x v="8"/>
    <x v="5"/>
    <x v="5"/>
    <x v="2"/>
    <x v="95"/>
    <x v="90"/>
    <x v="83"/>
    <x v="94"/>
    <x v="94"/>
    <x v="83"/>
    <x v="5"/>
    <x v="32"/>
    <x v="17"/>
    <x v="76"/>
    <x v="11"/>
    <x v="81"/>
    <x v="1"/>
    <x v="1"/>
    <x v="75"/>
    <x v="48"/>
    <x v="81"/>
    <x v="89"/>
    <x v="76"/>
    <x v="82"/>
    <x v="81"/>
  </r>
  <r>
    <x v="8"/>
    <x v="10"/>
    <x v="10"/>
    <x v="1"/>
    <x v="96"/>
    <x v="61"/>
    <x v="84"/>
    <x v="95"/>
    <x v="95"/>
    <x v="84"/>
    <x v="30"/>
    <x v="70"/>
    <x v="17"/>
    <x v="55"/>
    <x v="4"/>
    <x v="82"/>
    <x v="1"/>
    <x v="1"/>
    <x v="76"/>
    <x v="56"/>
    <x v="82"/>
    <x v="90"/>
    <x v="77"/>
    <x v="83"/>
    <x v="82"/>
  </r>
  <r>
    <x v="8"/>
    <x v="9"/>
    <x v="9"/>
    <x v="1"/>
    <x v="97"/>
    <x v="91"/>
    <x v="61"/>
    <x v="96"/>
    <x v="96"/>
    <x v="85"/>
    <x v="6"/>
    <x v="71"/>
    <x v="11"/>
    <x v="77"/>
    <x v="11"/>
    <x v="83"/>
    <x v="1"/>
    <x v="1"/>
    <x v="77"/>
    <x v="59"/>
    <x v="83"/>
    <x v="91"/>
    <x v="78"/>
    <x v="84"/>
    <x v="83"/>
  </r>
  <r>
    <x v="8"/>
    <x v="13"/>
    <x v="13"/>
    <x v="0"/>
    <x v="98"/>
    <x v="92"/>
    <x v="15"/>
    <x v="97"/>
    <x v="97"/>
    <x v="77"/>
    <x v="12"/>
    <x v="13"/>
    <x v="6"/>
    <x v="6"/>
    <x v="23"/>
    <x v="30"/>
    <x v="1"/>
    <x v="1"/>
    <x v="30"/>
    <x v="30"/>
    <x v="60"/>
    <x v="92"/>
    <x v="30"/>
    <x v="30"/>
    <x v="30"/>
  </r>
  <r>
    <x v="8"/>
    <x v="12"/>
    <x v="12"/>
    <x v="0"/>
    <x v="99"/>
    <x v="93"/>
    <x v="85"/>
    <x v="98"/>
    <x v="98"/>
    <x v="26"/>
    <x v="12"/>
    <x v="13"/>
    <x v="11"/>
    <x v="78"/>
    <x v="19"/>
    <x v="84"/>
    <x v="1"/>
    <x v="1"/>
    <x v="78"/>
    <x v="67"/>
    <x v="84"/>
    <x v="93"/>
    <x v="79"/>
    <x v="85"/>
    <x v="84"/>
  </r>
  <r>
    <x v="8"/>
    <x v="14"/>
    <x v="14"/>
    <x v="2"/>
    <x v="100"/>
    <x v="65"/>
    <x v="86"/>
    <x v="99"/>
    <x v="99"/>
    <x v="86"/>
    <x v="12"/>
    <x v="13"/>
    <x v="6"/>
    <x v="6"/>
    <x v="23"/>
    <x v="30"/>
    <x v="1"/>
    <x v="1"/>
    <x v="59"/>
    <x v="77"/>
    <x v="6"/>
    <x v="94"/>
    <x v="30"/>
    <x v="30"/>
    <x v="30"/>
  </r>
  <r>
    <x v="8"/>
    <x v="15"/>
    <x v="15"/>
    <x v="2"/>
    <x v="101"/>
    <x v="94"/>
    <x v="87"/>
    <x v="100"/>
    <x v="100"/>
    <x v="87"/>
    <x v="12"/>
    <x v="13"/>
    <x v="6"/>
    <x v="6"/>
    <x v="23"/>
    <x v="30"/>
    <x v="1"/>
    <x v="1"/>
    <x v="59"/>
    <x v="29"/>
    <x v="61"/>
    <x v="67"/>
    <x v="30"/>
    <x v="30"/>
    <x v="30"/>
  </r>
  <r>
    <x v="8"/>
    <x v="16"/>
    <x v="16"/>
    <x v="2"/>
    <x v="102"/>
    <x v="95"/>
    <x v="88"/>
    <x v="101"/>
    <x v="101"/>
    <x v="87"/>
    <x v="12"/>
    <x v="13"/>
    <x v="6"/>
    <x v="6"/>
    <x v="23"/>
    <x v="30"/>
    <x v="1"/>
    <x v="1"/>
    <x v="29"/>
    <x v="29"/>
    <x v="60"/>
    <x v="95"/>
    <x v="30"/>
    <x v="30"/>
    <x v="30"/>
  </r>
  <r>
    <x v="9"/>
    <x v="8"/>
    <x v="8"/>
    <x v="3"/>
    <x v="103"/>
    <x v="96"/>
    <x v="37"/>
    <x v="102"/>
    <x v="102"/>
    <x v="88"/>
    <x v="36"/>
    <x v="72"/>
    <x v="20"/>
    <x v="79"/>
    <x v="47"/>
    <x v="85"/>
    <x v="1"/>
    <x v="1"/>
    <x v="79"/>
    <x v="78"/>
    <x v="85"/>
    <x v="96"/>
    <x v="80"/>
    <x v="86"/>
    <x v="85"/>
  </r>
  <r>
    <x v="9"/>
    <x v="0"/>
    <x v="0"/>
    <x v="0"/>
    <x v="104"/>
    <x v="97"/>
    <x v="89"/>
    <x v="103"/>
    <x v="103"/>
    <x v="48"/>
    <x v="37"/>
    <x v="73"/>
    <x v="39"/>
    <x v="80"/>
    <x v="48"/>
    <x v="86"/>
    <x v="1"/>
    <x v="1"/>
    <x v="80"/>
    <x v="79"/>
    <x v="86"/>
    <x v="97"/>
    <x v="60"/>
    <x v="87"/>
    <x v="86"/>
  </r>
  <r>
    <x v="9"/>
    <x v="1"/>
    <x v="1"/>
    <x v="0"/>
    <x v="105"/>
    <x v="98"/>
    <x v="90"/>
    <x v="104"/>
    <x v="104"/>
    <x v="33"/>
    <x v="15"/>
    <x v="74"/>
    <x v="15"/>
    <x v="81"/>
    <x v="49"/>
    <x v="87"/>
    <x v="1"/>
    <x v="1"/>
    <x v="81"/>
    <x v="80"/>
    <x v="87"/>
    <x v="98"/>
    <x v="81"/>
    <x v="88"/>
    <x v="85"/>
  </r>
  <r>
    <x v="9"/>
    <x v="4"/>
    <x v="4"/>
    <x v="2"/>
    <x v="106"/>
    <x v="99"/>
    <x v="91"/>
    <x v="105"/>
    <x v="105"/>
    <x v="79"/>
    <x v="5"/>
    <x v="32"/>
    <x v="11"/>
    <x v="82"/>
    <x v="30"/>
    <x v="88"/>
    <x v="1"/>
    <x v="1"/>
    <x v="67"/>
    <x v="81"/>
    <x v="88"/>
    <x v="99"/>
    <x v="82"/>
    <x v="89"/>
    <x v="87"/>
  </r>
  <r>
    <x v="9"/>
    <x v="3"/>
    <x v="3"/>
    <x v="1"/>
    <x v="107"/>
    <x v="100"/>
    <x v="92"/>
    <x v="106"/>
    <x v="106"/>
    <x v="89"/>
    <x v="3"/>
    <x v="75"/>
    <x v="16"/>
    <x v="83"/>
    <x v="38"/>
    <x v="89"/>
    <x v="1"/>
    <x v="1"/>
    <x v="82"/>
    <x v="82"/>
    <x v="89"/>
    <x v="10"/>
    <x v="83"/>
    <x v="90"/>
    <x v="88"/>
  </r>
  <r>
    <x v="9"/>
    <x v="5"/>
    <x v="5"/>
    <x v="2"/>
    <x v="108"/>
    <x v="101"/>
    <x v="93"/>
    <x v="107"/>
    <x v="107"/>
    <x v="4"/>
    <x v="30"/>
    <x v="76"/>
    <x v="16"/>
    <x v="84"/>
    <x v="31"/>
    <x v="90"/>
    <x v="1"/>
    <x v="1"/>
    <x v="63"/>
    <x v="21"/>
    <x v="90"/>
    <x v="100"/>
    <x v="84"/>
    <x v="91"/>
    <x v="89"/>
  </r>
  <r>
    <x v="9"/>
    <x v="6"/>
    <x v="6"/>
    <x v="2"/>
    <x v="109"/>
    <x v="102"/>
    <x v="94"/>
    <x v="108"/>
    <x v="108"/>
    <x v="90"/>
    <x v="5"/>
    <x v="32"/>
    <x v="17"/>
    <x v="76"/>
    <x v="11"/>
    <x v="81"/>
    <x v="1"/>
    <x v="1"/>
    <x v="83"/>
    <x v="12"/>
    <x v="91"/>
    <x v="101"/>
    <x v="85"/>
    <x v="92"/>
    <x v="90"/>
  </r>
  <r>
    <x v="9"/>
    <x v="10"/>
    <x v="10"/>
    <x v="1"/>
    <x v="110"/>
    <x v="103"/>
    <x v="95"/>
    <x v="109"/>
    <x v="109"/>
    <x v="91"/>
    <x v="30"/>
    <x v="70"/>
    <x v="17"/>
    <x v="67"/>
    <x v="4"/>
    <x v="91"/>
    <x v="1"/>
    <x v="1"/>
    <x v="38"/>
    <x v="60"/>
    <x v="38"/>
    <x v="102"/>
    <x v="86"/>
    <x v="93"/>
    <x v="91"/>
  </r>
  <r>
    <x v="9"/>
    <x v="7"/>
    <x v="7"/>
    <x v="1"/>
    <x v="111"/>
    <x v="104"/>
    <x v="96"/>
    <x v="110"/>
    <x v="110"/>
    <x v="92"/>
    <x v="12"/>
    <x v="13"/>
    <x v="5"/>
    <x v="85"/>
    <x v="11"/>
    <x v="92"/>
    <x v="1"/>
    <x v="1"/>
    <x v="84"/>
    <x v="13"/>
    <x v="20"/>
    <x v="103"/>
    <x v="87"/>
    <x v="94"/>
    <x v="92"/>
  </r>
  <r>
    <x v="9"/>
    <x v="2"/>
    <x v="2"/>
    <x v="1"/>
    <x v="112"/>
    <x v="105"/>
    <x v="97"/>
    <x v="111"/>
    <x v="111"/>
    <x v="93"/>
    <x v="6"/>
    <x v="52"/>
    <x v="5"/>
    <x v="86"/>
    <x v="30"/>
    <x v="93"/>
    <x v="1"/>
    <x v="1"/>
    <x v="85"/>
    <x v="57"/>
    <x v="92"/>
    <x v="104"/>
    <x v="88"/>
    <x v="95"/>
    <x v="93"/>
  </r>
  <r>
    <x v="9"/>
    <x v="11"/>
    <x v="11"/>
    <x v="3"/>
    <x v="113"/>
    <x v="106"/>
    <x v="98"/>
    <x v="112"/>
    <x v="112"/>
    <x v="94"/>
    <x v="12"/>
    <x v="13"/>
    <x v="6"/>
    <x v="6"/>
    <x v="23"/>
    <x v="30"/>
    <x v="1"/>
    <x v="1"/>
    <x v="29"/>
    <x v="23"/>
    <x v="93"/>
    <x v="105"/>
    <x v="30"/>
    <x v="30"/>
    <x v="30"/>
  </r>
  <r>
    <x v="9"/>
    <x v="9"/>
    <x v="9"/>
    <x v="1"/>
    <x v="114"/>
    <x v="107"/>
    <x v="85"/>
    <x v="113"/>
    <x v="113"/>
    <x v="95"/>
    <x v="5"/>
    <x v="77"/>
    <x v="11"/>
    <x v="87"/>
    <x v="30"/>
    <x v="94"/>
    <x v="1"/>
    <x v="1"/>
    <x v="86"/>
    <x v="83"/>
    <x v="94"/>
    <x v="106"/>
    <x v="89"/>
    <x v="96"/>
    <x v="94"/>
  </r>
  <r>
    <x v="9"/>
    <x v="12"/>
    <x v="12"/>
    <x v="0"/>
    <x v="115"/>
    <x v="108"/>
    <x v="99"/>
    <x v="114"/>
    <x v="114"/>
    <x v="15"/>
    <x v="12"/>
    <x v="13"/>
    <x v="17"/>
    <x v="88"/>
    <x v="5"/>
    <x v="95"/>
    <x v="1"/>
    <x v="1"/>
    <x v="39"/>
    <x v="84"/>
    <x v="95"/>
    <x v="107"/>
    <x v="46"/>
    <x v="97"/>
    <x v="95"/>
  </r>
  <r>
    <x v="9"/>
    <x v="17"/>
    <x v="17"/>
    <x v="3"/>
    <x v="116"/>
    <x v="109"/>
    <x v="100"/>
    <x v="115"/>
    <x v="115"/>
    <x v="96"/>
    <x v="12"/>
    <x v="13"/>
    <x v="6"/>
    <x v="6"/>
    <x v="23"/>
    <x v="30"/>
    <x v="1"/>
    <x v="1"/>
    <x v="59"/>
    <x v="29"/>
    <x v="61"/>
    <x v="67"/>
    <x v="30"/>
    <x v="30"/>
    <x v="30"/>
  </r>
  <r>
    <x v="9"/>
    <x v="13"/>
    <x v="13"/>
    <x v="0"/>
    <x v="117"/>
    <x v="110"/>
    <x v="101"/>
    <x v="116"/>
    <x v="116"/>
    <x v="97"/>
    <x v="12"/>
    <x v="13"/>
    <x v="16"/>
    <x v="89"/>
    <x v="30"/>
    <x v="96"/>
    <x v="1"/>
    <x v="1"/>
    <x v="87"/>
    <x v="68"/>
    <x v="96"/>
    <x v="108"/>
    <x v="90"/>
    <x v="98"/>
    <x v="96"/>
  </r>
  <r>
    <x v="9"/>
    <x v="18"/>
    <x v="18"/>
    <x v="3"/>
    <x v="118"/>
    <x v="109"/>
    <x v="102"/>
    <x v="117"/>
    <x v="117"/>
    <x v="98"/>
    <x v="12"/>
    <x v="13"/>
    <x v="6"/>
    <x v="6"/>
    <x v="23"/>
    <x v="30"/>
    <x v="1"/>
    <x v="1"/>
    <x v="28"/>
    <x v="6"/>
    <x v="93"/>
    <x v="109"/>
    <x v="30"/>
    <x v="30"/>
    <x v="30"/>
  </r>
  <r>
    <x v="9"/>
    <x v="14"/>
    <x v="14"/>
    <x v="2"/>
    <x v="119"/>
    <x v="65"/>
    <x v="103"/>
    <x v="118"/>
    <x v="118"/>
    <x v="99"/>
    <x v="12"/>
    <x v="13"/>
    <x v="6"/>
    <x v="6"/>
    <x v="23"/>
    <x v="30"/>
    <x v="1"/>
    <x v="1"/>
    <x v="29"/>
    <x v="30"/>
    <x v="6"/>
    <x v="110"/>
    <x v="30"/>
    <x v="30"/>
    <x v="30"/>
  </r>
  <r>
    <x v="9"/>
    <x v="16"/>
    <x v="16"/>
    <x v="2"/>
    <x v="120"/>
    <x v="111"/>
    <x v="104"/>
    <x v="119"/>
    <x v="119"/>
    <x v="100"/>
    <x v="12"/>
    <x v="13"/>
    <x v="6"/>
    <x v="6"/>
    <x v="23"/>
    <x v="30"/>
    <x v="1"/>
    <x v="1"/>
    <x v="59"/>
    <x v="6"/>
    <x v="29"/>
    <x v="111"/>
    <x v="30"/>
    <x v="30"/>
    <x v="30"/>
  </r>
  <r>
    <x v="9"/>
    <x v="15"/>
    <x v="15"/>
    <x v="2"/>
    <x v="121"/>
    <x v="112"/>
    <x v="105"/>
    <x v="120"/>
    <x v="120"/>
    <x v="101"/>
    <x v="12"/>
    <x v="13"/>
    <x v="6"/>
    <x v="6"/>
    <x v="23"/>
    <x v="30"/>
    <x v="1"/>
    <x v="1"/>
    <x v="30"/>
    <x v="68"/>
    <x v="93"/>
    <x v="112"/>
    <x v="30"/>
    <x v="30"/>
    <x v="30"/>
  </r>
  <r>
    <x v="10"/>
    <x v="19"/>
    <x v="19"/>
    <x v="4"/>
    <x v="122"/>
    <x v="113"/>
    <x v="106"/>
    <x v="121"/>
    <x v="121"/>
    <x v="102"/>
    <x v="38"/>
    <x v="78"/>
    <x v="40"/>
    <x v="90"/>
    <x v="50"/>
    <x v="97"/>
    <x v="7"/>
    <x v="9"/>
    <x v="88"/>
    <x v="85"/>
    <x v="97"/>
    <x v="113"/>
    <x v="91"/>
    <x v="99"/>
    <x v="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4" cacheId="0" applyNumberFormats="0" applyBorderFormats="0" applyFontFormats="0" applyPatternFormats="0" applyAlignmentFormats="0" applyWidthHeightFormats="1" dataCaption="值" updatedVersion="5" minRefreshableVersion="1" useAutoFormatting="1" createdVersion="1" indent="0" compact="0" compactData="0" gridDropZones="1" multipleFieldFilters="0">
  <location ref="A2:M8" firstHeaderRow="1" firstDataRow="2" firstDataCol="1"/>
  <pivotFields count="30">
    <pivotField compact="0" outline="0" subtotalTop="0" multipleItemSelectionAllowed="1" showAll="0" includeNewItemsInFilter="1" sortType="ascending">
      <items count="12">
        <item x="0"/>
        <item sd="0" x="1"/>
        <item x="2"/>
        <item x="3"/>
        <item x="4"/>
        <item x="5"/>
        <item x="6"/>
        <item x="7"/>
        <item x="8"/>
        <item x="9"/>
        <item h="1" x="10"/>
        <item t="default"/>
      </items>
    </pivotField>
    <pivotField compact="0" outline="0" subtotalTop="0" showAll="0" includeNewItemsInFilter="1"/>
    <pivotField compact="0" outline="0" subtotalTop="0" showAll="0" includeNewItemsInFilter="1"/>
    <pivotField axis="axisRow" compact="0" outline="0" subtotalTop="0" multipleItemSelectionAllowed="1" showAll="0" includeNewItemsInFilter="1" sortType="descending">
      <items count="6">
        <item x="2"/>
        <item x="0"/>
        <item x="1"/>
        <item x="3"/>
        <item h="1" x="4"/>
        <item t="default"/>
      </items>
      <autoSortScope>
        <pivotArea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compact="0" outline="0" subtotalTop="0" showAll="0" includeNewItemsInFilter="1">
      <items count="124">
        <item x="69"/>
        <item x="86"/>
        <item x="68"/>
        <item x="85"/>
        <item x="67"/>
        <item x="84"/>
        <item x="6"/>
        <item x="102"/>
        <item x="32"/>
        <item x="66"/>
        <item x="121"/>
        <item x="31"/>
        <item x="30"/>
        <item x="29"/>
        <item x="101"/>
        <item x="14"/>
        <item x="120"/>
        <item x="65"/>
        <item x="100"/>
        <item x="28"/>
        <item x="119"/>
        <item x="64"/>
        <item x="118"/>
        <item x="99"/>
        <item x="117"/>
        <item x="98"/>
        <item x="116"/>
        <item x="27"/>
        <item x="115"/>
        <item x="114"/>
        <item x="83"/>
        <item x="82"/>
        <item x="113"/>
        <item x="97"/>
        <item x="23"/>
        <item x="81"/>
        <item x="63"/>
        <item x="112"/>
        <item x="52"/>
        <item x="96"/>
        <item x="41"/>
        <item x="95"/>
        <item x="111"/>
        <item x="62"/>
        <item x="110"/>
        <item x="13"/>
        <item x="80"/>
        <item x="51"/>
        <item x="79"/>
        <item x="78"/>
        <item x="94"/>
        <item x="12"/>
        <item x="5"/>
        <item x="61"/>
        <item x="109"/>
        <item x="93"/>
        <item x="77"/>
        <item x="76"/>
        <item x="40"/>
        <item x="39"/>
        <item x="92"/>
        <item x="50"/>
        <item x="60"/>
        <item x="75"/>
        <item x="38"/>
        <item x="22"/>
        <item x="37"/>
        <item x="59"/>
        <item x="74"/>
        <item x="91"/>
        <item x="58"/>
        <item x="4"/>
        <item x="108"/>
        <item x="107"/>
        <item x="11"/>
        <item x="49"/>
        <item x="21"/>
        <item x="20"/>
        <item x="57"/>
        <item x="19"/>
        <item x="3"/>
        <item x="48"/>
        <item x="47"/>
        <item x="56"/>
        <item x="36"/>
        <item x="90"/>
        <item x="46"/>
        <item x="106"/>
        <item x="45"/>
        <item x="73"/>
        <item x="10"/>
        <item x="18"/>
        <item x="2"/>
        <item x="9"/>
        <item x="26"/>
        <item x="44"/>
        <item x="8"/>
        <item x="35"/>
        <item x="55"/>
        <item x="17"/>
        <item x="1"/>
        <item x="72"/>
        <item x="0"/>
        <item x="25"/>
        <item x="7"/>
        <item x="105"/>
        <item x="89"/>
        <item x="16"/>
        <item x="34"/>
        <item x="54"/>
        <item x="43"/>
        <item x="71"/>
        <item x="88"/>
        <item x="104"/>
        <item x="53"/>
        <item x="70"/>
        <item x="87"/>
        <item x="42"/>
        <item x="103"/>
        <item x="15"/>
        <item x="33"/>
        <item x="24"/>
        <item x="122"/>
        <item t="default"/>
      </items>
    </pivotField>
    <pivotField dataField="1" compact="0" outline="0" subtotalTop="0" showAll="0" includeNewItemsInFilter="1">
      <items count="115">
        <item x="68"/>
        <item x="67"/>
        <item x="66"/>
        <item x="94"/>
        <item x="95"/>
        <item x="111"/>
        <item x="112"/>
        <item x="65"/>
        <item x="31"/>
        <item x="6"/>
        <item x="29"/>
        <item x="64"/>
        <item x="109"/>
        <item x="28"/>
        <item x="30"/>
        <item x="92"/>
        <item x="63"/>
        <item x="27"/>
        <item x="93"/>
        <item x="106"/>
        <item x="108"/>
        <item x="110"/>
        <item x="107"/>
        <item x="79"/>
        <item x="26"/>
        <item x="91"/>
        <item x="81"/>
        <item x="80"/>
        <item x="62"/>
        <item x="14"/>
        <item x="58"/>
        <item x="105"/>
        <item x="77"/>
        <item x="51"/>
        <item x="40"/>
        <item x="78"/>
        <item x="103"/>
        <item x="12"/>
        <item x="61"/>
        <item x="89"/>
        <item x="88"/>
        <item x="75"/>
        <item x="50"/>
        <item x="90"/>
        <item x="102"/>
        <item x="22"/>
        <item x="13"/>
        <item x="60"/>
        <item x="39"/>
        <item x="104"/>
        <item x="49"/>
        <item x="101"/>
        <item x="5"/>
        <item x="38"/>
        <item x="37"/>
        <item x="87"/>
        <item x="74"/>
        <item x="36"/>
        <item x="76"/>
        <item x="59"/>
        <item x="11"/>
        <item x="20"/>
        <item x="100"/>
        <item x="48"/>
        <item x="86"/>
        <item x="73"/>
        <item x="57"/>
        <item x="4"/>
        <item x="46"/>
        <item x="21"/>
        <item x="72"/>
        <item x="3"/>
        <item x="56"/>
        <item x="47"/>
        <item x="19"/>
        <item x="85"/>
        <item x="55"/>
        <item x="35"/>
        <item x="99"/>
        <item x="44"/>
        <item x="2"/>
        <item x="45"/>
        <item x="18"/>
        <item x="10"/>
        <item x="9"/>
        <item x="25"/>
        <item x="54"/>
        <item x="71"/>
        <item x="43"/>
        <item x="98"/>
        <item x="1"/>
        <item x="8"/>
        <item x="34"/>
        <item x="84"/>
        <item x="17"/>
        <item x="70"/>
        <item x="0"/>
        <item x="53"/>
        <item x="83"/>
        <item x="24"/>
        <item x="7"/>
        <item x="52"/>
        <item x="16"/>
        <item x="69"/>
        <item x="15"/>
        <item x="97"/>
        <item x="42"/>
        <item x="82"/>
        <item x="33"/>
        <item x="41"/>
        <item x="96"/>
        <item x="23"/>
        <item x="32"/>
        <item x="113"/>
        <item t="default"/>
      </items>
    </pivotField>
    <pivotField compact="0" outline="0" subtotalTop="0" showAll="0" includeNewItemsInFilter="1"/>
    <pivotField dataField="1" compact="0" outline="0" subtotalTop="0" showAll="0" includeNewItemsInFilter="1">
      <items count="123">
        <item x="69"/>
        <item x="68"/>
        <item x="100"/>
        <item x="101"/>
        <item x="67"/>
        <item x="85"/>
        <item x="84"/>
        <item x="120"/>
        <item x="6"/>
        <item x="66"/>
        <item x="119"/>
        <item x="99"/>
        <item x="65"/>
        <item x="118"/>
        <item x="32"/>
        <item x="64"/>
        <item x="97"/>
        <item x="30"/>
        <item x="29"/>
        <item x="31"/>
        <item x="117"/>
        <item x="115"/>
        <item x="114"/>
        <item x="116"/>
        <item x="28"/>
        <item x="112"/>
        <item x="98"/>
        <item x="113"/>
        <item x="61"/>
        <item x="59"/>
        <item x="63"/>
        <item x="41"/>
        <item x="78"/>
        <item x="62"/>
        <item x="80"/>
        <item x="81"/>
        <item x="52"/>
        <item x="93"/>
        <item x="27"/>
        <item x="96"/>
        <item x="12"/>
        <item x="75"/>
        <item x="56"/>
        <item x="108"/>
        <item x="83"/>
        <item x="94"/>
        <item x="49"/>
        <item x="51"/>
        <item x="13"/>
        <item x="23"/>
        <item x="111"/>
        <item x="95"/>
        <item x="22"/>
        <item x="50"/>
        <item x="5"/>
        <item x="82"/>
        <item x="39"/>
        <item x="109"/>
        <item x="92"/>
        <item x="107"/>
        <item x="79"/>
        <item x="14"/>
        <item x="60"/>
        <item x="46"/>
        <item x="37"/>
        <item x="40"/>
        <item x="89"/>
        <item x="76"/>
        <item x="105"/>
        <item x="11"/>
        <item x="48"/>
        <item x="20"/>
        <item x="90"/>
        <item x="58"/>
        <item x="110"/>
        <item x="57"/>
        <item x="38"/>
        <item x="4"/>
        <item x="91"/>
        <item x="74"/>
        <item x="47"/>
        <item x="106"/>
        <item x="21"/>
        <item x="77"/>
        <item x="73"/>
        <item x="45"/>
        <item x="36"/>
        <item x="3"/>
        <item x="19"/>
        <item x="18"/>
        <item x="2"/>
        <item x="26"/>
        <item x="9"/>
        <item x="10"/>
        <item x="55"/>
        <item x="104"/>
        <item x="72"/>
        <item x="17"/>
        <item x="8"/>
        <item x="1"/>
        <item x="88"/>
        <item x="44"/>
        <item x="35"/>
        <item x="54"/>
        <item x="87"/>
        <item x="71"/>
        <item x="25"/>
        <item x="103"/>
        <item x="7"/>
        <item x="53"/>
        <item x="15"/>
        <item x="0"/>
        <item x="16"/>
        <item x="70"/>
        <item x="43"/>
        <item x="86"/>
        <item x="102"/>
        <item x="42"/>
        <item x="34"/>
        <item x="24"/>
        <item x="33"/>
        <item x="121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>
      <items count="52">
        <item x="23"/>
        <item x="5"/>
        <item x="19"/>
        <item x="11"/>
        <item x="30"/>
        <item x="4"/>
        <item x="13"/>
        <item x="12"/>
        <item x="31"/>
        <item x="38"/>
        <item x="42"/>
        <item x="10"/>
        <item x="3"/>
        <item x="28"/>
        <item x="36"/>
        <item x="37"/>
        <item x="29"/>
        <item x="18"/>
        <item x="27"/>
        <item x="35"/>
        <item x="2"/>
        <item x="17"/>
        <item x="8"/>
        <item x="14"/>
        <item x="44"/>
        <item x="49"/>
        <item x="9"/>
        <item x="41"/>
        <item x="22"/>
        <item x="39"/>
        <item x="16"/>
        <item x="1"/>
        <item x="7"/>
        <item x="34"/>
        <item x="45"/>
        <item x="32"/>
        <item x="43"/>
        <item x="20"/>
        <item x="46"/>
        <item x="47"/>
        <item x="40"/>
        <item x="26"/>
        <item x="21"/>
        <item x="48"/>
        <item x="0"/>
        <item x="15"/>
        <item x="6"/>
        <item x="24"/>
        <item x="33"/>
        <item x="25"/>
        <item x="50"/>
        <item t="default"/>
      </items>
    </pivotField>
    <pivotField dataField="1" compact="0" outline="0" subtotalTop="0" showAll="0" includeNewItemsInFilter="1">
      <items count="99">
        <item x="30"/>
        <item x="66"/>
        <item x="6"/>
        <item x="28"/>
        <item x="70"/>
        <item x="95"/>
        <item x="29"/>
        <item x="72"/>
        <item x="81"/>
        <item x="80"/>
        <item x="59"/>
        <item x="84"/>
        <item x="12"/>
        <item x="88"/>
        <item x="57"/>
        <item x="23"/>
        <item x="92"/>
        <item x="44"/>
        <item x="58"/>
        <item x="37"/>
        <item x="83"/>
        <item x="64"/>
        <item x="93"/>
        <item x="54"/>
        <item x="21"/>
        <item x="77"/>
        <item x="71"/>
        <item x="69"/>
        <item x="90"/>
        <item x="5"/>
        <item x="94"/>
        <item x="96"/>
        <item x="73"/>
        <item x="39"/>
        <item x="20"/>
        <item x="13"/>
        <item x="91"/>
        <item x="82"/>
        <item x="60"/>
        <item x="50"/>
        <item x="14"/>
        <item x="65"/>
        <item x="48"/>
        <item x="67"/>
        <item x="47"/>
        <item x="38"/>
        <item x="79"/>
        <item x="22"/>
        <item x="89"/>
        <item x="11"/>
        <item x="35"/>
        <item x="49"/>
        <item x="55"/>
        <item x="78"/>
        <item x="56"/>
        <item x="68"/>
        <item x="3"/>
        <item x="4"/>
        <item x="46"/>
        <item x="45"/>
        <item x="36"/>
        <item x="34"/>
        <item x="2"/>
        <item x="43"/>
        <item x="27"/>
        <item x="19"/>
        <item x="18"/>
        <item x="9"/>
        <item x="10"/>
        <item x="87"/>
        <item x="63"/>
        <item x="76"/>
        <item x="53"/>
        <item x="26"/>
        <item x="1"/>
        <item x="17"/>
        <item x="8"/>
        <item x="42"/>
        <item x="75"/>
        <item x="52"/>
        <item x="51"/>
        <item x="62"/>
        <item x="33"/>
        <item x="40"/>
        <item x="25"/>
        <item x="74"/>
        <item x="86"/>
        <item x="0"/>
        <item x="61"/>
        <item x="16"/>
        <item x="7"/>
        <item x="85"/>
        <item x="15"/>
        <item x="41"/>
        <item x="32"/>
        <item x="31"/>
        <item x="24"/>
        <item x="9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>
      <items count="99">
        <item x="61"/>
        <item x="29"/>
        <item x="59"/>
        <item x="60"/>
        <item x="28"/>
        <item x="6"/>
        <item x="93"/>
        <item x="27"/>
        <item x="55"/>
        <item x="84"/>
        <item x="96"/>
        <item x="26"/>
        <item x="22"/>
        <item x="95"/>
        <item x="56"/>
        <item x="94"/>
        <item x="67"/>
        <item x="70"/>
        <item x="80"/>
        <item x="71"/>
        <item x="58"/>
        <item x="83"/>
        <item x="49"/>
        <item x="38"/>
        <item x="81"/>
        <item x="79"/>
        <item x="21"/>
        <item x="82"/>
        <item x="72"/>
        <item x="48"/>
        <item x="14"/>
        <item x="57"/>
        <item x="47"/>
        <item x="69"/>
        <item x="92"/>
        <item x="68"/>
        <item x="36"/>
        <item x="12"/>
        <item x="91"/>
        <item x="65"/>
        <item x="46"/>
        <item x="37"/>
        <item x="78"/>
        <item x="43"/>
        <item x="13"/>
        <item x="90"/>
        <item x="5"/>
        <item x="20"/>
        <item x="88"/>
        <item x="76"/>
        <item x="35"/>
        <item x="11"/>
        <item x="34"/>
        <item x="3"/>
        <item x="66"/>
        <item x="77"/>
        <item x="54"/>
        <item x="89"/>
        <item x="53"/>
        <item x="44"/>
        <item x="4"/>
        <item x="45"/>
        <item x="33"/>
        <item x="19"/>
        <item x="42"/>
        <item x="2"/>
        <item x="18"/>
        <item x="25"/>
        <item x="52"/>
        <item x="64"/>
        <item x="9"/>
        <item x="17"/>
        <item x="75"/>
        <item x="10"/>
        <item x="15"/>
        <item x="8"/>
        <item x="87"/>
        <item x="1"/>
        <item x="41"/>
        <item x="50"/>
        <item x="32"/>
        <item x="74"/>
        <item x="51"/>
        <item x="62"/>
        <item x="39"/>
        <item x="63"/>
        <item x="24"/>
        <item x="73"/>
        <item x="16"/>
        <item x="85"/>
        <item x="23"/>
        <item x="7"/>
        <item x="0"/>
        <item x="86"/>
        <item x="40"/>
        <item x="31"/>
        <item x="30"/>
        <item x="9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 count="1">
    <field x="3"/>
  </rowFields>
  <rowItems count="5">
    <i>
      <x v="1"/>
    </i>
    <i>
      <x v="3"/>
    </i>
    <i>
      <x v="2"/>
    </i>
    <i>
      <x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求和项:展现数" fld="4" baseField="0" baseItem="0"/>
    <dataField name="求和项:点击数" fld="5" baseField="0" baseItem="0" numFmtId="44"/>
    <dataField name="求和项:花费" fld="7" baseField="0" baseItem="0" numFmtId="44"/>
    <dataField name="花费占比" fld="7" baseField="0" baseItem="2" numFmtId="1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求和项:总订单行" fld="14" baseField="0" baseItem="0"/>
    <dataField name="求和项:总订单金额" fld="15" baseField="0" baseItem="0" numFmtId="44"/>
    <dataField name="求和项:总加购数" fld="20" baseField="0" baseItem="0"/>
    <dataField name="求和项:CPM" fld="25" baseField="0" baseItem="0" numFmtId="44"/>
    <dataField name="求和项:CPC" fld="26" baseField="0" baseItem="0" numFmtId="44"/>
    <dataField name="求和项:CTR（%）" fld="27" baseField="0" baseItem="0"/>
    <dataField name="求和项:CVR（%）" fld="28" baseField="0" baseItem="0"/>
    <dataField name="求和项:ROI" fld="29" baseField="0" baseItem="0"/>
  </dataFields>
  <formats count="116">
    <format dxfId="68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679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78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677">
      <pivotArea collapsedLevelsAreSubtotals="1" fieldPosition="0">
        <references count="1">
          <reference field="4294967294" count="1" selected="0">
            <x v="10"/>
          </reference>
        </references>
      </pivotArea>
    </format>
    <format dxfId="676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675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674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673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72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671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670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669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668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667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66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665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664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663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662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661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60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65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658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657">
      <pivotArea collapsedLevelsAreSubtotals="1" fieldPosition="0">
        <references count="1">
          <reference field="4294967294" count="1" selected="0">
            <x v="11"/>
          </reference>
        </references>
      </pivotArea>
    </format>
    <format dxfId="656">
      <pivotArea collapsedLevelsAreSubtotals="1" fieldPosition="0">
        <references count="1">
          <reference field="4294967294" count="1" selected="0">
            <x v="11"/>
          </reference>
        </references>
      </pivotArea>
    </format>
    <format dxfId="655">
      <pivotArea collapsedLevelsAreSubtotals="1" fieldPosition="0">
        <references count="1">
          <reference field="4294967294" count="1" selected="0">
            <x v="11"/>
          </reference>
        </references>
      </pivotArea>
    </format>
    <format dxfId="654">
      <pivotArea collapsedLevelsAreSubtotals="1" fieldPosition="0">
        <references count="1">
          <reference field="4294967294" count="1" selected="0">
            <x v="11"/>
          </reference>
        </references>
      </pivotArea>
    </format>
    <format dxfId="653">
      <pivotArea collapsedLevelsAreSubtotals="1" fieldPosition="0">
        <references count="1">
          <reference field="4294967294" count="1" selected="0">
            <x v="11"/>
          </reference>
        </references>
      </pivotArea>
    </format>
    <format dxfId="652">
      <pivotArea field="3" type="button" dataOnly="0" labelOnly="1" outline="0" fieldPosition="0"/>
    </format>
    <format dxfId="651">
      <pivotArea dataOnly="0" labelOnly="1" fieldPosition="0">
        <references count="1">
          <reference field="4294967294" count="1">
            <x v="0"/>
          </reference>
        </references>
      </pivotArea>
    </format>
    <format dxfId="650">
      <pivotArea dataOnly="0" labelOnly="1" fieldPosition="0">
        <references count="1">
          <reference field="4294967294" count="1">
            <x v="1"/>
          </reference>
        </references>
      </pivotArea>
    </format>
    <format dxfId="649">
      <pivotArea dataOnly="0" labelOnly="1" fieldPosition="0">
        <references count="1">
          <reference field="4294967294" count="1">
            <x v="2"/>
          </reference>
        </references>
      </pivotArea>
    </format>
    <format dxfId="648">
      <pivotArea dataOnly="0" labelOnly="1" fieldPosition="0">
        <references count="1">
          <reference field="4294967294" count="1">
            <x v="3"/>
          </reference>
        </references>
      </pivotArea>
    </format>
    <format dxfId="647">
      <pivotArea dataOnly="0" labelOnly="1" fieldPosition="0">
        <references count="1">
          <reference field="4294967294" count="1">
            <x v="4"/>
          </reference>
        </references>
      </pivotArea>
    </format>
    <format dxfId="646">
      <pivotArea dataOnly="0" labelOnly="1" fieldPosition="0">
        <references count="1">
          <reference field="4294967294" count="1">
            <x v="5"/>
          </reference>
        </references>
      </pivotArea>
    </format>
    <format dxfId="645">
      <pivotArea dataOnly="0" labelOnly="1" fieldPosition="0">
        <references count="1">
          <reference field="4294967294" count="1">
            <x v="6"/>
          </reference>
        </references>
      </pivotArea>
    </format>
    <format dxfId="644">
      <pivotArea dataOnly="0" labelOnly="1" fieldPosition="0">
        <references count="1">
          <reference field="4294967294" count="1">
            <x v="7"/>
          </reference>
        </references>
      </pivotArea>
    </format>
    <format dxfId="643">
      <pivotArea dataOnly="0" labelOnly="1" fieldPosition="0">
        <references count="1">
          <reference field="4294967294" count="1">
            <x v="8"/>
          </reference>
        </references>
      </pivotArea>
    </format>
    <format dxfId="642">
      <pivotArea dataOnly="0" labelOnly="1" fieldPosition="0">
        <references count="1">
          <reference field="4294967294" count="1">
            <x v="9"/>
          </reference>
        </references>
      </pivotArea>
    </format>
    <format dxfId="641">
      <pivotArea dataOnly="0" labelOnly="1" fieldPosition="0">
        <references count="1">
          <reference field="4294967294" count="1">
            <x v="10"/>
          </reference>
        </references>
      </pivotArea>
    </format>
    <format dxfId="640">
      <pivotArea dataOnly="0" labelOnly="1" fieldPosition="0">
        <references count="1">
          <reference field="4294967294" count="1">
            <x v="11"/>
          </reference>
        </references>
      </pivotArea>
    </format>
    <format dxfId="639">
      <pivotArea field="3" type="button" dataOnly="0" labelOnly="1" outline="0" fieldPosition="0"/>
    </format>
    <format dxfId="638">
      <pivotArea dataOnly="0" labelOnly="1" fieldPosition="0">
        <references count="1">
          <reference field="4294967294" count="1">
            <x v="0"/>
          </reference>
        </references>
      </pivotArea>
    </format>
    <format dxfId="637">
      <pivotArea dataOnly="0" labelOnly="1" fieldPosition="0">
        <references count="1">
          <reference field="4294967294" count="1">
            <x v="1"/>
          </reference>
        </references>
      </pivotArea>
    </format>
    <format dxfId="636">
      <pivotArea dataOnly="0" labelOnly="1" fieldPosition="0">
        <references count="1">
          <reference field="4294967294" count="1">
            <x v="2"/>
          </reference>
        </references>
      </pivotArea>
    </format>
    <format dxfId="635">
      <pivotArea dataOnly="0" labelOnly="1" fieldPosition="0">
        <references count="1">
          <reference field="4294967294" count="1">
            <x v="3"/>
          </reference>
        </references>
      </pivotArea>
    </format>
    <format dxfId="634">
      <pivotArea dataOnly="0" labelOnly="1" fieldPosition="0">
        <references count="1">
          <reference field="4294967294" count="1">
            <x v="4"/>
          </reference>
        </references>
      </pivotArea>
    </format>
    <format dxfId="633">
      <pivotArea dataOnly="0" labelOnly="1" fieldPosition="0">
        <references count="1">
          <reference field="4294967294" count="1">
            <x v="5"/>
          </reference>
        </references>
      </pivotArea>
    </format>
    <format dxfId="632">
      <pivotArea dataOnly="0" labelOnly="1" fieldPosition="0">
        <references count="1">
          <reference field="4294967294" count="1">
            <x v="6"/>
          </reference>
        </references>
      </pivotArea>
    </format>
    <format dxfId="631">
      <pivotArea dataOnly="0" labelOnly="1" fieldPosition="0">
        <references count="1">
          <reference field="4294967294" count="1">
            <x v="7"/>
          </reference>
        </references>
      </pivotArea>
    </format>
    <format dxfId="630">
      <pivotArea dataOnly="0" labelOnly="1" fieldPosition="0">
        <references count="1">
          <reference field="4294967294" count="1">
            <x v="8"/>
          </reference>
        </references>
      </pivotArea>
    </format>
    <format dxfId="629">
      <pivotArea dataOnly="0" labelOnly="1" fieldPosition="0">
        <references count="1">
          <reference field="4294967294" count="1">
            <x v="9"/>
          </reference>
        </references>
      </pivotArea>
    </format>
    <format dxfId="628">
      <pivotArea dataOnly="0" labelOnly="1" fieldPosition="0">
        <references count="1">
          <reference field="4294967294" count="1">
            <x v="10"/>
          </reference>
        </references>
      </pivotArea>
    </format>
    <format dxfId="627">
      <pivotArea dataOnly="0" labelOnly="1" fieldPosition="0">
        <references count="1">
          <reference field="4294967294" count="1">
            <x v="11"/>
          </reference>
        </references>
      </pivotArea>
    </format>
    <format dxfId="626">
      <pivotArea field="3" type="button" dataOnly="0" labelOnly="1" outline="0" fieldPosition="0"/>
    </format>
    <format dxfId="625">
      <pivotArea dataOnly="0" labelOnly="1" fieldPosition="0">
        <references count="1">
          <reference field="4294967294" count="1">
            <x v="0"/>
          </reference>
        </references>
      </pivotArea>
    </format>
    <format dxfId="624">
      <pivotArea dataOnly="0" labelOnly="1" fieldPosition="0">
        <references count="1">
          <reference field="4294967294" count="1">
            <x v="1"/>
          </reference>
        </references>
      </pivotArea>
    </format>
    <format dxfId="623">
      <pivotArea dataOnly="0" labelOnly="1" fieldPosition="0">
        <references count="1">
          <reference field="4294967294" count="1">
            <x v="2"/>
          </reference>
        </references>
      </pivotArea>
    </format>
    <format dxfId="622">
      <pivotArea dataOnly="0" labelOnly="1" fieldPosition="0">
        <references count="1">
          <reference field="4294967294" count="1">
            <x v="3"/>
          </reference>
        </references>
      </pivotArea>
    </format>
    <format dxfId="621">
      <pivotArea dataOnly="0" labelOnly="1" fieldPosition="0">
        <references count="1">
          <reference field="4294967294" count="1">
            <x v="4"/>
          </reference>
        </references>
      </pivotArea>
    </format>
    <format dxfId="620">
      <pivotArea dataOnly="0" labelOnly="1" fieldPosition="0">
        <references count="1">
          <reference field="4294967294" count="1">
            <x v="5"/>
          </reference>
        </references>
      </pivotArea>
    </format>
    <format dxfId="619">
      <pivotArea dataOnly="0" labelOnly="1" fieldPosition="0">
        <references count="1">
          <reference field="4294967294" count="1">
            <x v="6"/>
          </reference>
        </references>
      </pivotArea>
    </format>
    <format dxfId="618">
      <pivotArea dataOnly="0" labelOnly="1" fieldPosition="0">
        <references count="1">
          <reference field="4294967294" count="1">
            <x v="7"/>
          </reference>
        </references>
      </pivotArea>
    </format>
    <format dxfId="617">
      <pivotArea dataOnly="0" labelOnly="1" fieldPosition="0">
        <references count="1">
          <reference field="4294967294" count="1">
            <x v="8"/>
          </reference>
        </references>
      </pivotArea>
    </format>
    <format dxfId="616">
      <pivotArea dataOnly="0" labelOnly="1" fieldPosition="0">
        <references count="1">
          <reference field="4294967294" count="1">
            <x v="9"/>
          </reference>
        </references>
      </pivotArea>
    </format>
    <format dxfId="615">
      <pivotArea dataOnly="0" labelOnly="1" fieldPosition="0">
        <references count="1">
          <reference field="4294967294" count="1">
            <x v="10"/>
          </reference>
        </references>
      </pivotArea>
    </format>
    <format dxfId="614">
      <pivotArea dataOnly="0" labelOnly="1" fieldPosition="0">
        <references count="1">
          <reference field="4294967294" count="1">
            <x v="11"/>
          </reference>
        </references>
      </pivotArea>
    </format>
    <format dxfId="613">
      <pivotArea field="3" type="button" dataOnly="0" labelOnly="1" outline="0" fieldPosition="0"/>
    </format>
    <format dxfId="612">
      <pivotArea dataOnly="0" labelOnly="1" fieldPosition="0">
        <references count="1">
          <reference field="4294967294" count="1">
            <x v="0"/>
          </reference>
        </references>
      </pivotArea>
    </format>
    <format dxfId="611">
      <pivotArea dataOnly="0" labelOnly="1" fieldPosition="0">
        <references count="1">
          <reference field="4294967294" count="1">
            <x v="1"/>
          </reference>
        </references>
      </pivotArea>
    </format>
    <format dxfId="610">
      <pivotArea dataOnly="0" labelOnly="1" fieldPosition="0">
        <references count="1">
          <reference field="4294967294" count="1">
            <x v="2"/>
          </reference>
        </references>
      </pivotArea>
    </format>
    <format dxfId="609">
      <pivotArea dataOnly="0" labelOnly="1" fieldPosition="0">
        <references count="1">
          <reference field="4294967294" count="1">
            <x v="3"/>
          </reference>
        </references>
      </pivotArea>
    </format>
    <format dxfId="608">
      <pivotArea dataOnly="0" labelOnly="1" fieldPosition="0">
        <references count="1">
          <reference field="4294967294" count="1">
            <x v="4"/>
          </reference>
        </references>
      </pivotArea>
    </format>
    <format dxfId="607">
      <pivotArea dataOnly="0" labelOnly="1" fieldPosition="0">
        <references count="1">
          <reference field="4294967294" count="1">
            <x v="5"/>
          </reference>
        </references>
      </pivotArea>
    </format>
    <format dxfId="606">
      <pivotArea dataOnly="0" labelOnly="1" fieldPosition="0">
        <references count="1">
          <reference field="4294967294" count="1">
            <x v="6"/>
          </reference>
        </references>
      </pivotArea>
    </format>
    <format dxfId="605">
      <pivotArea dataOnly="0" labelOnly="1" fieldPosition="0">
        <references count="1">
          <reference field="4294967294" count="1">
            <x v="7"/>
          </reference>
        </references>
      </pivotArea>
    </format>
    <format dxfId="604">
      <pivotArea dataOnly="0" labelOnly="1" fieldPosition="0">
        <references count="1">
          <reference field="4294967294" count="1">
            <x v="8"/>
          </reference>
        </references>
      </pivotArea>
    </format>
    <format dxfId="603">
      <pivotArea dataOnly="0" labelOnly="1" fieldPosition="0">
        <references count="1">
          <reference field="4294967294" count="1">
            <x v="9"/>
          </reference>
        </references>
      </pivotArea>
    </format>
    <format dxfId="602">
      <pivotArea dataOnly="0" labelOnly="1" fieldPosition="0">
        <references count="1">
          <reference field="4294967294" count="1">
            <x v="10"/>
          </reference>
        </references>
      </pivotArea>
    </format>
    <format dxfId="601">
      <pivotArea dataOnly="0" labelOnly="1" fieldPosition="0">
        <references count="1">
          <reference field="4294967294" count="1">
            <x v="11"/>
          </reference>
        </references>
      </pivotArea>
    </format>
    <format dxfId="600">
      <pivotArea field="3" type="button" dataOnly="0" labelOnly="1" outline="0" fieldPosition="0"/>
    </format>
    <format dxfId="599">
      <pivotArea dataOnly="0" labelOnly="1" fieldPosition="0">
        <references count="1">
          <reference field="4294967294" count="1">
            <x v="0"/>
          </reference>
        </references>
      </pivotArea>
    </format>
    <format dxfId="598">
      <pivotArea dataOnly="0" labelOnly="1" fieldPosition="0">
        <references count="1">
          <reference field="4294967294" count="1">
            <x v="1"/>
          </reference>
        </references>
      </pivotArea>
    </format>
    <format dxfId="597">
      <pivotArea dataOnly="0" labelOnly="1" fieldPosition="0">
        <references count="1">
          <reference field="4294967294" count="1">
            <x v="2"/>
          </reference>
        </references>
      </pivotArea>
    </format>
    <format dxfId="596">
      <pivotArea dataOnly="0" labelOnly="1" fieldPosition="0">
        <references count="1">
          <reference field="4294967294" count="1">
            <x v="3"/>
          </reference>
        </references>
      </pivotArea>
    </format>
    <format dxfId="595">
      <pivotArea dataOnly="0" labelOnly="1" fieldPosition="0">
        <references count="1">
          <reference field="4294967294" count="1">
            <x v="4"/>
          </reference>
        </references>
      </pivotArea>
    </format>
    <format dxfId="594">
      <pivotArea dataOnly="0" labelOnly="1" fieldPosition="0">
        <references count="1">
          <reference field="4294967294" count="1">
            <x v="5"/>
          </reference>
        </references>
      </pivotArea>
    </format>
    <format dxfId="593">
      <pivotArea dataOnly="0" labelOnly="1" fieldPosition="0">
        <references count="1">
          <reference field="4294967294" count="1">
            <x v="6"/>
          </reference>
        </references>
      </pivotArea>
    </format>
    <format dxfId="592">
      <pivotArea dataOnly="0" labelOnly="1" fieldPosition="0">
        <references count="1">
          <reference field="4294967294" count="1">
            <x v="7"/>
          </reference>
        </references>
      </pivotArea>
    </format>
    <format dxfId="591">
      <pivotArea dataOnly="0" labelOnly="1" fieldPosition="0">
        <references count="1">
          <reference field="4294967294" count="1">
            <x v="8"/>
          </reference>
        </references>
      </pivotArea>
    </format>
    <format dxfId="590">
      <pivotArea dataOnly="0" labelOnly="1" fieldPosition="0">
        <references count="1">
          <reference field="4294967294" count="1">
            <x v="9"/>
          </reference>
        </references>
      </pivotArea>
    </format>
    <format dxfId="589">
      <pivotArea dataOnly="0" labelOnly="1" fieldPosition="0">
        <references count="1">
          <reference field="4294967294" count="1">
            <x v="10"/>
          </reference>
        </references>
      </pivotArea>
    </format>
    <format dxfId="588">
      <pivotArea dataOnly="0" labelOnly="1" fieldPosition="0">
        <references count="1">
          <reference field="4294967294" count="1">
            <x v="11"/>
          </reference>
        </references>
      </pivotArea>
    </format>
    <format dxfId="587">
      <pivotArea field="3" type="button" dataOnly="0" labelOnly="1" outline="0" fieldPosition="0"/>
    </format>
    <format dxfId="586">
      <pivotArea dataOnly="0" labelOnly="1" fieldPosition="0">
        <references count="1">
          <reference field="4294967294" count="1">
            <x v="0"/>
          </reference>
        </references>
      </pivotArea>
    </format>
    <format dxfId="585">
      <pivotArea dataOnly="0" labelOnly="1" fieldPosition="0">
        <references count="1">
          <reference field="4294967294" count="1">
            <x v="1"/>
          </reference>
        </references>
      </pivotArea>
    </format>
    <format dxfId="584">
      <pivotArea dataOnly="0" labelOnly="1" fieldPosition="0">
        <references count="1">
          <reference field="4294967294" count="1">
            <x v="2"/>
          </reference>
        </references>
      </pivotArea>
    </format>
    <format dxfId="583">
      <pivotArea dataOnly="0" labelOnly="1" fieldPosition="0">
        <references count="1">
          <reference field="4294967294" count="1">
            <x v="3"/>
          </reference>
        </references>
      </pivotArea>
    </format>
    <format dxfId="582">
      <pivotArea dataOnly="0" labelOnly="1" fieldPosition="0">
        <references count="1">
          <reference field="4294967294" count="1">
            <x v="4"/>
          </reference>
        </references>
      </pivotArea>
    </format>
    <format dxfId="581">
      <pivotArea dataOnly="0" labelOnly="1" fieldPosition="0">
        <references count="1">
          <reference field="4294967294" count="1">
            <x v="5"/>
          </reference>
        </references>
      </pivotArea>
    </format>
    <format dxfId="580">
      <pivotArea dataOnly="0" labelOnly="1" fieldPosition="0">
        <references count="1">
          <reference field="4294967294" count="1">
            <x v="6"/>
          </reference>
        </references>
      </pivotArea>
    </format>
    <format dxfId="579">
      <pivotArea dataOnly="0" labelOnly="1" fieldPosition="0">
        <references count="1">
          <reference field="4294967294" count="1">
            <x v="7"/>
          </reference>
        </references>
      </pivotArea>
    </format>
    <format dxfId="578">
      <pivotArea dataOnly="0" labelOnly="1" fieldPosition="0">
        <references count="1">
          <reference field="4294967294" count="1">
            <x v="8"/>
          </reference>
        </references>
      </pivotArea>
    </format>
    <format dxfId="577">
      <pivotArea dataOnly="0" labelOnly="1" fieldPosition="0">
        <references count="1">
          <reference field="4294967294" count="1">
            <x v="9"/>
          </reference>
        </references>
      </pivotArea>
    </format>
    <format dxfId="576">
      <pivotArea dataOnly="0" labelOnly="1" fieldPosition="0">
        <references count="1">
          <reference field="4294967294" count="1">
            <x v="10"/>
          </reference>
        </references>
      </pivotArea>
    </format>
    <format dxfId="575">
      <pivotArea dataOnly="0" labelOnly="1" fieldPosition="0">
        <references count="1">
          <reference field="4294967294" count="1">
            <x v="11"/>
          </reference>
        </references>
      </pivotArea>
    </format>
    <format dxfId="574">
      <pivotArea type="all" dataOnly="0" outline="0" fieldPosition="0"/>
    </format>
    <format dxfId="573">
      <pivotArea type="all" dataOnly="0" outline="0" fieldPosition="0"/>
    </format>
    <format dxfId="572">
      <pivotArea type="all" dataOnly="0" outline="0" fieldPosition="0"/>
    </format>
    <format dxfId="571">
      <pivotArea field="3" type="button" dataOnly="0" labelOnly="1" outline="0" axis="axisRow" fieldPosition="0"/>
    </format>
    <format dxfId="570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58">
      <pivotArea outline="0" fieldPosition="0">
        <references count="1">
          <reference field="4294967294" count="1" selected="0">
            <x v="1"/>
          </reference>
        </references>
      </pivotArea>
    </format>
    <format dxfId="345">
      <pivotArea outline="0" fieldPosition="0">
        <references count="1">
          <reference field="4294967294" count="1" selected="0">
            <x v="2"/>
          </reference>
        </references>
      </pivotArea>
    </format>
    <format dxfId="231">
      <pivotArea outline="0" fieldPosition="0">
        <references count="1">
          <reference field="4294967294" count="1" selected="0">
            <x v="5"/>
          </reference>
        </references>
      </pivotArea>
    </format>
    <format dxfId="116">
      <pivotArea outline="0" fieldPosition="0">
        <references count="1">
          <reference field="4294967294" count="1" selected="0">
            <x v="7"/>
          </reference>
        </references>
      </pivotArea>
    </format>
    <format dxfId="0">
      <pivotArea outline="0" fieldPosition="0">
        <references count="1">
          <reference field="4294967294" count="1" selected="0">
            <x v="8"/>
          </reference>
        </references>
      </pivotArea>
    </format>
  </formats>
  <pivotTableStyleInfo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"/>
  <sheetViews>
    <sheetView tabSelected="1" topLeftCell="H1" zoomScale="85" zoomScaleNormal="85" workbookViewId="0">
      <selection activeCell="N15" sqref="N15"/>
    </sheetView>
  </sheetViews>
  <sheetFormatPr defaultColWidth="8.77734375" defaultRowHeight="15" x14ac:dyDescent="0.35"/>
  <cols>
    <col min="1" max="1" width="10" style="2" customWidth="1"/>
    <col min="2" max="2" width="17.21875" style="2" customWidth="1"/>
    <col min="3" max="14" width="19.6640625" style="2"/>
    <col min="15" max="15" width="12.77734375" style="2"/>
    <col min="16" max="16" width="20.5546875" style="2" customWidth="1"/>
    <col min="17" max="17" width="14" style="2"/>
    <col min="18" max="16384" width="8.77734375" style="2"/>
  </cols>
  <sheetData>
    <row r="1" spans="1:17" ht="15.6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7" ht="15.6" x14ac:dyDescent="0.35">
      <c r="A2" s="4"/>
      <c r="B2" s="4" t="s">
        <v>0</v>
      </c>
      <c r="C2" s="4"/>
      <c r="D2" s="5"/>
      <c r="E2" s="5"/>
      <c r="F2" s="5"/>
      <c r="G2" s="5"/>
      <c r="H2" s="5"/>
      <c r="I2" s="5"/>
      <c r="J2" s="5"/>
      <c r="K2" s="5"/>
      <c r="L2" s="5"/>
      <c r="M2" s="6"/>
      <c r="N2" s="3"/>
    </row>
    <row r="3" spans="1:17" ht="16.2" x14ac:dyDescent="0.35">
      <c r="A3" s="27" t="s">
        <v>1</v>
      </c>
      <c r="B3" s="27" t="s">
        <v>2</v>
      </c>
      <c r="C3" s="28" t="s">
        <v>3</v>
      </c>
      <c r="D3" s="28" t="s">
        <v>4</v>
      </c>
      <c r="E3" s="28" t="s">
        <v>5</v>
      </c>
      <c r="F3" s="28" t="s">
        <v>6</v>
      </c>
      <c r="G3" s="28" t="s">
        <v>7</v>
      </c>
      <c r="H3" s="28" t="s">
        <v>8</v>
      </c>
      <c r="I3" s="28" t="s">
        <v>9</v>
      </c>
      <c r="J3" s="28" t="s">
        <v>10</v>
      </c>
      <c r="K3" s="28" t="s">
        <v>11</v>
      </c>
      <c r="L3" s="28" t="s">
        <v>12</v>
      </c>
      <c r="M3" s="29" t="s">
        <v>13</v>
      </c>
      <c r="N3" s="30" t="s">
        <v>14</v>
      </c>
      <c r="O3" s="30" t="s">
        <v>15</v>
      </c>
      <c r="P3" s="30" t="s">
        <v>16</v>
      </c>
      <c r="Q3" s="30" t="s">
        <v>17</v>
      </c>
    </row>
    <row r="4" spans="1:17" ht="15.6" x14ac:dyDescent="0.35">
      <c r="A4" s="4" t="s">
        <v>18</v>
      </c>
      <c r="B4" s="7">
        <v>2059936</v>
      </c>
      <c r="C4" s="31">
        <v>131456</v>
      </c>
      <c r="D4" s="31">
        <v>332807.65999999997</v>
      </c>
      <c r="E4" s="9">
        <v>0.47117575068263701</v>
      </c>
      <c r="F4" s="8">
        <v>4295</v>
      </c>
      <c r="G4" s="31">
        <v>3277871.18</v>
      </c>
      <c r="H4" s="8">
        <v>40615</v>
      </c>
      <c r="I4" s="31">
        <v>161.562135911019</v>
      </c>
      <c r="J4" s="31">
        <v>2.5317038400681602</v>
      </c>
      <c r="K4" s="10">
        <v>6.3815574852810997</v>
      </c>
      <c r="L4" s="10">
        <v>3.2672529211294998</v>
      </c>
      <c r="M4" s="11">
        <v>9.8491458399725609</v>
      </c>
      <c r="N4" s="34">
        <v>4324983</v>
      </c>
      <c r="O4" s="13">
        <f>D4/N4</f>
        <v>7.6950050439504605E-2</v>
      </c>
      <c r="P4" s="12"/>
      <c r="Q4" s="12"/>
    </row>
    <row r="5" spans="1:17" ht="15.6" x14ac:dyDescent="0.35">
      <c r="A5" s="14" t="s">
        <v>19</v>
      </c>
      <c r="B5" s="15">
        <v>6763732</v>
      </c>
      <c r="C5" s="32">
        <v>144604</v>
      </c>
      <c r="D5" s="32">
        <v>305990.17</v>
      </c>
      <c r="E5" s="17">
        <v>0.43320862281612699</v>
      </c>
      <c r="F5" s="16">
        <v>1416</v>
      </c>
      <c r="G5" s="32">
        <v>2525524.69</v>
      </c>
      <c r="H5" s="16">
        <v>20753</v>
      </c>
      <c r="I5" s="32">
        <v>45.239842442012801</v>
      </c>
      <c r="J5" s="32">
        <v>2.1160560565406201</v>
      </c>
      <c r="K5" s="18">
        <v>2.1379321356907699</v>
      </c>
      <c r="L5" s="18">
        <v>0.97922602417637095</v>
      </c>
      <c r="M5" s="19">
        <v>8.2536138007309194</v>
      </c>
      <c r="N5" s="34">
        <v>2289628</v>
      </c>
      <c r="O5" s="13">
        <f>D5/N5</f>
        <v>0.13364187108124101</v>
      </c>
      <c r="P5" s="12"/>
      <c r="Q5" s="12"/>
    </row>
    <row r="6" spans="1:17" ht="15.6" x14ac:dyDescent="0.35">
      <c r="A6" s="14" t="s">
        <v>20</v>
      </c>
      <c r="B6" s="15">
        <v>463923</v>
      </c>
      <c r="C6" s="32">
        <v>19152</v>
      </c>
      <c r="D6" s="32">
        <v>53421.98</v>
      </c>
      <c r="E6" s="17">
        <v>7.5632698867125897E-2</v>
      </c>
      <c r="F6" s="16">
        <v>537</v>
      </c>
      <c r="G6" s="32">
        <v>412993.86</v>
      </c>
      <c r="H6" s="16">
        <v>6827</v>
      </c>
      <c r="I6" s="32">
        <v>115.152686976071</v>
      </c>
      <c r="J6" s="32">
        <v>2.7893682121971599</v>
      </c>
      <c r="K6" s="18">
        <v>4.12827128639882</v>
      </c>
      <c r="L6" s="18">
        <v>2.8038847117794501</v>
      </c>
      <c r="M6" s="19">
        <v>7.73078534341108</v>
      </c>
      <c r="N6" s="34">
        <v>461889</v>
      </c>
      <c r="O6" s="13">
        <f>D6/N6</f>
        <v>0.11565977973062801</v>
      </c>
      <c r="P6" s="12"/>
      <c r="Q6" s="12"/>
    </row>
    <row r="7" spans="1:17" ht="15.6" x14ac:dyDescent="0.35">
      <c r="A7" s="14" t="s">
        <v>21</v>
      </c>
      <c r="B7" s="15">
        <v>328619</v>
      </c>
      <c r="C7" s="32">
        <v>12392</v>
      </c>
      <c r="D7" s="32">
        <v>14114.63</v>
      </c>
      <c r="E7" s="17">
        <v>1.9982927634110598E-2</v>
      </c>
      <c r="F7" s="16">
        <v>163</v>
      </c>
      <c r="G7" s="32">
        <v>89435.9</v>
      </c>
      <c r="H7" s="16">
        <v>2423</v>
      </c>
      <c r="I7" s="32">
        <v>42.951350956578899</v>
      </c>
      <c r="J7" s="32">
        <v>1.13901145900581</v>
      </c>
      <c r="K7" s="18">
        <v>3.7709322954546201</v>
      </c>
      <c r="L7" s="18">
        <v>1.3153647514525499</v>
      </c>
      <c r="M7" s="19">
        <v>6.3363970575211699</v>
      </c>
      <c r="N7" s="34">
        <v>156025</v>
      </c>
      <c r="O7" s="13">
        <f>D7/N7</f>
        <v>9.0463900016023099E-2</v>
      </c>
      <c r="P7" s="12"/>
      <c r="Q7" s="12"/>
    </row>
    <row r="8" spans="1:17" ht="15.6" x14ac:dyDescent="0.35">
      <c r="A8" s="20" t="s">
        <v>22</v>
      </c>
      <c r="B8" s="21">
        <v>9616210</v>
      </c>
      <c r="C8" s="33">
        <v>307604</v>
      </c>
      <c r="D8" s="33">
        <v>706334.44</v>
      </c>
      <c r="E8" s="23">
        <v>1</v>
      </c>
      <c r="F8" s="22">
        <v>6411</v>
      </c>
      <c r="G8" s="33">
        <v>6305825.6299999999</v>
      </c>
      <c r="H8" s="22">
        <v>70618</v>
      </c>
      <c r="I8" s="33">
        <v>73.452476599408698</v>
      </c>
      <c r="J8" s="33">
        <v>2.2962459525883898</v>
      </c>
      <c r="K8" s="24">
        <v>3.19880701440588</v>
      </c>
      <c r="L8" s="24">
        <v>2.0841731576962599</v>
      </c>
      <c r="M8" s="25">
        <v>8.9275352763486904</v>
      </c>
      <c r="N8" s="34">
        <f>SUM(N4:N7)</f>
        <v>7232525</v>
      </c>
      <c r="O8" s="13">
        <f>D8/N8</f>
        <v>9.7660836291613207E-2</v>
      </c>
      <c r="P8" s="34">
        <v>8861112.4800000004</v>
      </c>
      <c r="Q8" s="13">
        <f>D8/P8</f>
        <v>7.9711711322278597E-2</v>
      </c>
    </row>
    <row r="9" spans="1:17" ht="15.6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7" ht="15.6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2" spans="1:17" ht="15.6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7" ht="15.6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7" ht="15.6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7" ht="15.6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7" ht="15.6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ht="15.6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ht="15.6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ht="15.6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ht="15.6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ht="15.6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ht="15.6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ht="15.6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ht="15.6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ht="15.6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ht="15.6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ht="15.6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15.6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ht="15.6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ht="15.6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ht="15.6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ht="15.6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ht="15.6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15.6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15.6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ht="15.6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ht="15.6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ht="15.6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ht="15.6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ht="15.6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ht="15.6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ht="15.6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ht="15.6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ht="15.6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ht="15.6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ht="15.6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ht="15.6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ht="15.6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15.6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15.6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15.6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15.6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15.6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ht="15.6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ht="15.6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ht="15.6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ht="15.6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ht="15.6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ht="15.6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ht="15.6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ht="15.6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ht="15.6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23"/>
  <sheetViews>
    <sheetView topLeftCell="B1" zoomScale="60" zoomScaleNormal="60" workbookViewId="0">
      <selection sqref="A1:A1048576"/>
    </sheetView>
  </sheetViews>
  <sheetFormatPr defaultColWidth="8.77734375" defaultRowHeight="13.2" x14ac:dyDescent="0.25"/>
  <cols>
    <col min="1" max="1" width="21.6640625" style="1" hidden="1" customWidth="1"/>
    <col min="2" max="2" width="17.21875" style="1" customWidth="1"/>
    <col min="3" max="3" width="41.88671875" style="1" customWidth="1"/>
    <col min="4" max="7" width="8.77734375" style="1"/>
    <col min="8" max="8" width="9.5546875" style="1"/>
    <col min="9" max="11" width="8.77734375" style="1"/>
    <col min="12" max="12" width="10.5546875" style="1"/>
    <col min="13" max="13" width="8.77734375" style="1"/>
    <col min="14" max="14" width="9.5546875" style="1"/>
    <col min="15" max="15" width="8.77734375" style="1"/>
    <col min="16" max="16" width="10.5546875" style="1"/>
    <col min="17" max="29" width="8.77734375" style="1"/>
    <col min="30" max="30" width="18.88671875" style="1" customWidth="1"/>
    <col min="31" max="31" width="16.5546875" style="1" customWidth="1"/>
    <col min="32" max="16384" width="8.77734375" style="1"/>
  </cols>
  <sheetData>
    <row r="1" spans="1:32" customFormat="1" ht="14.4" x14ac:dyDescent="0.25">
      <c r="A1" t="s">
        <v>23</v>
      </c>
      <c r="B1" t="s">
        <v>24</v>
      </c>
      <c r="C1" t="s">
        <v>25</v>
      </c>
      <c r="D1" t="s">
        <v>1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AD1" t="s">
        <v>24</v>
      </c>
      <c r="AE1" t="s">
        <v>25</v>
      </c>
      <c r="AF1" t="s">
        <v>1</v>
      </c>
    </row>
    <row r="2" spans="1:32" customFormat="1" ht="14.4" x14ac:dyDescent="0.25">
      <c r="A2" t="s">
        <v>47</v>
      </c>
      <c r="B2" s="26" t="s">
        <v>48</v>
      </c>
      <c r="C2" t="s">
        <v>49</v>
      </c>
      <c r="D2" t="str">
        <f t="shared" ref="D2:D65" si="0">VLOOKUP(B2,AD:AF,3,FALSE)</f>
        <v>N2</v>
      </c>
      <c r="E2">
        <v>80039</v>
      </c>
      <c r="F2">
        <v>7411</v>
      </c>
      <c r="G2">
        <v>9.26</v>
      </c>
      <c r="H2">
        <v>23932.16</v>
      </c>
      <c r="I2">
        <v>299.01</v>
      </c>
      <c r="J2">
        <v>3.23</v>
      </c>
      <c r="K2">
        <v>231</v>
      </c>
      <c r="L2">
        <v>171405</v>
      </c>
      <c r="M2">
        <v>69</v>
      </c>
      <c r="N2">
        <v>49399.7</v>
      </c>
      <c r="O2">
        <v>300</v>
      </c>
      <c r="P2">
        <v>220804.7</v>
      </c>
      <c r="Q2">
        <v>4</v>
      </c>
      <c r="R2">
        <v>3196</v>
      </c>
      <c r="S2">
        <v>2169</v>
      </c>
      <c r="T2">
        <v>1015</v>
      </c>
      <c r="U2">
        <v>3184</v>
      </c>
      <c r="V2">
        <v>7.52</v>
      </c>
      <c r="W2">
        <v>4.05</v>
      </c>
      <c r="X2">
        <v>79.77</v>
      </c>
      <c r="Y2">
        <v>9.23</v>
      </c>
      <c r="AD2" s="26" t="s">
        <v>50</v>
      </c>
      <c r="AE2" t="s">
        <v>51</v>
      </c>
      <c r="AF2" t="s">
        <v>19</v>
      </c>
    </row>
    <row r="3" spans="1:32" customFormat="1" ht="14.4" x14ac:dyDescent="0.25">
      <c r="A3" t="s">
        <v>47</v>
      </c>
      <c r="B3" s="26" t="s">
        <v>52</v>
      </c>
      <c r="C3" t="s">
        <v>53</v>
      </c>
      <c r="D3" t="str">
        <f t="shared" si="0"/>
        <v>N2</v>
      </c>
      <c r="E3">
        <v>60599</v>
      </c>
      <c r="F3">
        <v>3784</v>
      </c>
      <c r="G3">
        <v>6.24</v>
      </c>
      <c r="H3">
        <v>11486.44</v>
      </c>
      <c r="I3">
        <v>189.55</v>
      </c>
      <c r="J3">
        <v>3.04</v>
      </c>
      <c r="K3">
        <v>70</v>
      </c>
      <c r="L3">
        <v>64349</v>
      </c>
      <c r="M3">
        <v>48</v>
      </c>
      <c r="N3">
        <v>31753</v>
      </c>
      <c r="O3">
        <v>118</v>
      </c>
      <c r="P3">
        <v>96102</v>
      </c>
      <c r="Q3">
        <v>0</v>
      </c>
      <c r="R3">
        <v>0</v>
      </c>
      <c r="S3">
        <v>723</v>
      </c>
      <c r="T3">
        <v>447</v>
      </c>
      <c r="U3">
        <v>1170</v>
      </c>
      <c r="V3">
        <v>9.82</v>
      </c>
      <c r="W3">
        <v>3.12</v>
      </c>
      <c r="X3">
        <v>97.34</v>
      </c>
      <c r="Y3">
        <v>8.3699999999999992</v>
      </c>
      <c r="AD3" s="26" t="s">
        <v>48</v>
      </c>
      <c r="AE3" t="s">
        <v>54</v>
      </c>
      <c r="AF3" t="s">
        <v>18</v>
      </c>
    </row>
    <row r="4" spans="1:32" customFormat="1" ht="14.4" x14ac:dyDescent="0.25">
      <c r="A4" t="s">
        <v>47</v>
      </c>
      <c r="B4" s="26" t="s">
        <v>55</v>
      </c>
      <c r="C4" t="s">
        <v>56</v>
      </c>
      <c r="D4" t="str">
        <f t="shared" si="0"/>
        <v>N3</v>
      </c>
      <c r="E4">
        <v>35528</v>
      </c>
      <c r="F4">
        <v>1384</v>
      </c>
      <c r="G4">
        <v>3.9</v>
      </c>
      <c r="H4">
        <v>5143.16</v>
      </c>
      <c r="I4">
        <v>144.76</v>
      </c>
      <c r="J4">
        <v>3.72</v>
      </c>
      <c r="K4">
        <v>7</v>
      </c>
      <c r="L4">
        <v>5143</v>
      </c>
      <c r="M4">
        <v>27</v>
      </c>
      <c r="N4">
        <v>17628.62</v>
      </c>
      <c r="O4">
        <v>34</v>
      </c>
      <c r="P4">
        <v>22771.62</v>
      </c>
      <c r="Q4">
        <v>5</v>
      </c>
      <c r="R4">
        <v>3995</v>
      </c>
      <c r="S4">
        <v>158</v>
      </c>
      <c r="T4">
        <v>435</v>
      </c>
      <c r="U4">
        <v>593</v>
      </c>
      <c r="V4">
        <v>8.67</v>
      </c>
      <c r="W4">
        <v>2.46</v>
      </c>
      <c r="X4">
        <v>151.27000000000001</v>
      </c>
      <c r="Y4">
        <v>4.43</v>
      </c>
      <c r="AD4" s="26" t="s">
        <v>52</v>
      </c>
      <c r="AE4" t="s">
        <v>57</v>
      </c>
      <c r="AF4" t="s">
        <v>18</v>
      </c>
    </row>
    <row r="5" spans="1:32" customFormat="1" ht="14.4" x14ac:dyDescent="0.25">
      <c r="A5" t="s">
        <v>47</v>
      </c>
      <c r="B5" s="26" t="s">
        <v>58</v>
      </c>
      <c r="C5" t="s">
        <v>59</v>
      </c>
      <c r="D5" t="str">
        <f t="shared" si="0"/>
        <v>N3</v>
      </c>
      <c r="E5">
        <v>18304</v>
      </c>
      <c r="F5">
        <v>726</v>
      </c>
      <c r="G5">
        <v>3.97</v>
      </c>
      <c r="H5">
        <v>2608.4299999999998</v>
      </c>
      <c r="I5">
        <v>142.51</v>
      </c>
      <c r="J5">
        <v>3.59</v>
      </c>
      <c r="K5">
        <v>6</v>
      </c>
      <c r="L5">
        <v>4644</v>
      </c>
      <c r="M5">
        <v>9</v>
      </c>
      <c r="N5">
        <v>6134.7</v>
      </c>
      <c r="O5">
        <v>15</v>
      </c>
      <c r="P5">
        <v>10778.7</v>
      </c>
      <c r="Q5">
        <v>5</v>
      </c>
      <c r="R5">
        <v>3995</v>
      </c>
      <c r="S5">
        <v>69</v>
      </c>
      <c r="T5">
        <v>73</v>
      </c>
      <c r="U5">
        <v>142</v>
      </c>
      <c r="V5">
        <v>18.37</v>
      </c>
      <c r="W5">
        <v>2.0699999999999998</v>
      </c>
      <c r="X5">
        <v>173.9</v>
      </c>
      <c r="Y5">
        <v>4.13</v>
      </c>
      <c r="AD5" s="26" t="s">
        <v>60</v>
      </c>
      <c r="AE5" t="s">
        <v>61</v>
      </c>
      <c r="AF5" t="s">
        <v>21</v>
      </c>
    </row>
    <row r="6" spans="1:32" customFormat="1" ht="14.4" x14ac:dyDescent="0.25">
      <c r="A6" t="s">
        <v>47</v>
      </c>
      <c r="B6" s="26" t="s">
        <v>60</v>
      </c>
      <c r="C6" t="s">
        <v>61</v>
      </c>
      <c r="D6" t="str">
        <f t="shared" si="0"/>
        <v>N1</v>
      </c>
      <c r="E6">
        <v>13774</v>
      </c>
      <c r="F6">
        <v>593</v>
      </c>
      <c r="G6">
        <v>4.3099999999999996</v>
      </c>
      <c r="H6">
        <v>1082.1300000000001</v>
      </c>
      <c r="I6">
        <v>78.56</v>
      </c>
      <c r="J6">
        <v>1.82</v>
      </c>
      <c r="K6">
        <v>9</v>
      </c>
      <c r="L6">
        <v>8599.2000000000007</v>
      </c>
      <c r="M6">
        <v>6</v>
      </c>
      <c r="N6">
        <v>3089.1</v>
      </c>
      <c r="O6">
        <v>15</v>
      </c>
      <c r="P6">
        <v>11688.3</v>
      </c>
      <c r="Q6">
        <v>0</v>
      </c>
      <c r="R6">
        <v>0</v>
      </c>
      <c r="S6">
        <v>108</v>
      </c>
      <c r="T6">
        <v>105</v>
      </c>
      <c r="U6">
        <v>213</v>
      </c>
      <c r="V6">
        <v>5.08</v>
      </c>
      <c r="W6">
        <v>2.5299999999999998</v>
      </c>
      <c r="X6">
        <v>72.14</v>
      </c>
      <c r="Y6">
        <v>10.8</v>
      </c>
      <c r="AD6" s="26" t="s">
        <v>58</v>
      </c>
      <c r="AE6" t="s">
        <v>59</v>
      </c>
      <c r="AF6" t="s">
        <v>20</v>
      </c>
    </row>
    <row r="7" spans="1:32" customFormat="1" ht="14.4" x14ac:dyDescent="0.25">
      <c r="A7" t="s">
        <v>47</v>
      </c>
      <c r="B7" s="26" t="s">
        <v>62</v>
      </c>
      <c r="C7" t="s">
        <v>63</v>
      </c>
      <c r="D7" t="str">
        <f t="shared" si="0"/>
        <v>N1</v>
      </c>
      <c r="E7">
        <v>8197</v>
      </c>
      <c r="F7">
        <v>325</v>
      </c>
      <c r="G7">
        <v>3.96</v>
      </c>
      <c r="H7">
        <v>510.87</v>
      </c>
      <c r="I7">
        <v>62.32</v>
      </c>
      <c r="J7">
        <v>1.57</v>
      </c>
      <c r="K7">
        <v>2</v>
      </c>
      <c r="L7">
        <v>1393</v>
      </c>
      <c r="M7">
        <v>3</v>
      </c>
      <c r="N7">
        <v>1658.7</v>
      </c>
      <c r="O7">
        <v>5</v>
      </c>
      <c r="P7">
        <v>3051.7</v>
      </c>
      <c r="Q7">
        <v>0</v>
      </c>
      <c r="R7">
        <v>0</v>
      </c>
      <c r="S7">
        <v>61</v>
      </c>
      <c r="T7">
        <v>42</v>
      </c>
      <c r="U7">
        <v>103</v>
      </c>
      <c r="V7">
        <v>4.96</v>
      </c>
      <c r="W7">
        <v>1.54</v>
      </c>
      <c r="X7">
        <v>102.17</v>
      </c>
      <c r="Y7">
        <v>5.97</v>
      </c>
      <c r="AD7" s="26" t="s">
        <v>64</v>
      </c>
      <c r="AE7" t="s">
        <v>65</v>
      </c>
      <c r="AF7" t="s">
        <v>20</v>
      </c>
    </row>
    <row r="8" spans="1:32" customFormat="1" ht="14.4" x14ac:dyDescent="0.25">
      <c r="A8" t="s">
        <v>47</v>
      </c>
      <c r="B8" s="26" t="s">
        <v>66</v>
      </c>
      <c r="C8" t="s">
        <v>67</v>
      </c>
      <c r="D8" t="str">
        <f t="shared" si="0"/>
        <v>N1</v>
      </c>
      <c r="E8">
        <v>324</v>
      </c>
      <c r="F8">
        <v>13</v>
      </c>
      <c r="G8">
        <v>4.01</v>
      </c>
      <c r="H8">
        <v>18.399999999999999</v>
      </c>
      <c r="I8">
        <v>56.79</v>
      </c>
      <c r="J8">
        <v>1.42</v>
      </c>
      <c r="K8">
        <v>1</v>
      </c>
      <c r="L8">
        <v>428.4</v>
      </c>
      <c r="M8">
        <v>0</v>
      </c>
      <c r="N8">
        <v>0</v>
      </c>
      <c r="O8">
        <v>1</v>
      </c>
      <c r="P8">
        <v>428.4</v>
      </c>
      <c r="Q8">
        <v>0</v>
      </c>
      <c r="R8">
        <v>0</v>
      </c>
      <c r="S8">
        <v>4</v>
      </c>
      <c r="T8">
        <v>1</v>
      </c>
      <c r="U8">
        <v>5</v>
      </c>
      <c r="V8">
        <v>3.68</v>
      </c>
      <c r="W8">
        <v>7.69</v>
      </c>
      <c r="X8">
        <v>18.399999999999999</v>
      </c>
      <c r="Y8">
        <v>23.28</v>
      </c>
      <c r="AD8" s="26" t="s">
        <v>55</v>
      </c>
      <c r="AE8" t="s">
        <v>56</v>
      </c>
      <c r="AF8" t="s">
        <v>20</v>
      </c>
    </row>
    <row r="9" spans="1:32" customFormat="1" ht="14.4" x14ac:dyDescent="0.25">
      <c r="A9" t="s">
        <v>68</v>
      </c>
      <c r="B9" s="26" t="s">
        <v>48</v>
      </c>
      <c r="C9" t="s">
        <v>49</v>
      </c>
      <c r="D9" t="str">
        <f t="shared" si="0"/>
        <v>N2</v>
      </c>
      <c r="E9">
        <v>97795</v>
      </c>
      <c r="F9">
        <v>8987</v>
      </c>
      <c r="G9">
        <v>9.19</v>
      </c>
      <c r="H9">
        <v>22315.34</v>
      </c>
      <c r="I9">
        <v>228.18</v>
      </c>
      <c r="J9">
        <v>2.48</v>
      </c>
      <c r="K9">
        <v>255</v>
      </c>
      <c r="L9">
        <v>191716.39</v>
      </c>
      <c r="M9">
        <v>60</v>
      </c>
      <c r="N9">
        <v>46351.32</v>
      </c>
      <c r="O9">
        <v>315</v>
      </c>
      <c r="P9">
        <v>238067.71</v>
      </c>
      <c r="Q9">
        <v>0</v>
      </c>
      <c r="R9">
        <v>0</v>
      </c>
      <c r="S9">
        <v>2232</v>
      </c>
      <c r="T9">
        <v>923</v>
      </c>
      <c r="U9">
        <v>3155</v>
      </c>
      <c r="V9">
        <v>7.07</v>
      </c>
      <c r="W9">
        <v>3.51</v>
      </c>
      <c r="X9">
        <v>70.84</v>
      </c>
      <c r="Y9">
        <v>10.67</v>
      </c>
      <c r="AD9" s="26" t="s">
        <v>66</v>
      </c>
      <c r="AE9" t="s">
        <v>67</v>
      </c>
      <c r="AF9" t="s">
        <v>21</v>
      </c>
    </row>
    <row r="10" spans="1:32" customFormat="1" ht="14.4" x14ac:dyDescent="0.25">
      <c r="A10" t="s">
        <v>68</v>
      </c>
      <c r="B10" s="26" t="s">
        <v>52</v>
      </c>
      <c r="C10" t="s">
        <v>53</v>
      </c>
      <c r="D10" t="str">
        <f t="shared" si="0"/>
        <v>N2</v>
      </c>
      <c r="E10">
        <v>52227</v>
      </c>
      <c r="F10">
        <v>3788</v>
      </c>
      <c r="G10">
        <v>7.25</v>
      </c>
      <c r="H10">
        <v>10123.32</v>
      </c>
      <c r="I10">
        <v>193.83</v>
      </c>
      <c r="J10">
        <v>2.67</v>
      </c>
      <c r="K10">
        <v>86</v>
      </c>
      <c r="L10">
        <v>78108.399999999994</v>
      </c>
      <c r="M10">
        <v>41</v>
      </c>
      <c r="N10">
        <v>27868.7</v>
      </c>
      <c r="O10">
        <v>127</v>
      </c>
      <c r="P10">
        <v>105977.1</v>
      </c>
      <c r="Q10">
        <v>0</v>
      </c>
      <c r="R10">
        <v>0</v>
      </c>
      <c r="S10">
        <v>664</v>
      </c>
      <c r="T10">
        <v>396</v>
      </c>
      <c r="U10">
        <v>1060</v>
      </c>
      <c r="V10">
        <v>9.5500000000000007</v>
      </c>
      <c r="W10">
        <v>3.35</v>
      </c>
      <c r="X10">
        <v>79.709999999999994</v>
      </c>
      <c r="Y10">
        <v>10.47</v>
      </c>
      <c r="AD10" s="26" t="s">
        <v>62</v>
      </c>
      <c r="AE10" t="s">
        <v>63</v>
      </c>
      <c r="AF10" t="s">
        <v>21</v>
      </c>
    </row>
    <row r="11" spans="1:32" customFormat="1" ht="14.4" x14ac:dyDescent="0.25">
      <c r="A11" t="s">
        <v>68</v>
      </c>
      <c r="B11" s="26" t="s">
        <v>58</v>
      </c>
      <c r="C11" t="s">
        <v>59</v>
      </c>
      <c r="D11" t="str">
        <f t="shared" si="0"/>
        <v>N3</v>
      </c>
      <c r="E11">
        <v>38386</v>
      </c>
      <c r="F11">
        <v>2221</v>
      </c>
      <c r="G11">
        <v>5.79</v>
      </c>
      <c r="H11">
        <v>6860.95</v>
      </c>
      <c r="I11">
        <v>178.74</v>
      </c>
      <c r="J11">
        <v>3.09</v>
      </c>
      <c r="K11">
        <v>10</v>
      </c>
      <c r="L11">
        <v>6490</v>
      </c>
      <c r="M11">
        <v>39</v>
      </c>
      <c r="N11">
        <v>27757.7</v>
      </c>
      <c r="O11">
        <v>49</v>
      </c>
      <c r="P11">
        <v>34247.699999999997</v>
      </c>
      <c r="Q11">
        <v>0</v>
      </c>
      <c r="R11">
        <v>0</v>
      </c>
      <c r="S11">
        <v>489</v>
      </c>
      <c r="T11">
        <v>361</v>
      </c>
      <c r="U11">
        <v>850</v>
      </c>
      <c r="V11">
        <v>8.07</v>
      </c>
      <c r="W11">
        <v>2.21</v>
      </c>
      <c r="X11">
        <v>140.02000000000001</v>
      </c>
      <c r="Y11">
        <v>4.99</v>
      </c>
      <c r="AD11" s="26" t="s">
        <v>69</v>
      </c>
      <c r="AE11" t="s">
        <v>70</v>
      </c>
      <c r="AF11" t="s">
        <v>20</v>
      </c>
    </row>
    <row r="12" spans="1:32" customFormat="1" ht="14.4" x14ac:dyDescent="0.25">
      <c r="A12" t="s">
        <v>68</v>
      </c>
      <c r="B12" s="26" t="s">
        <v>55</v>
      </c>
      <c r="C12" t="s">
        <v>56</v>
      </c>
      <c r="D12" t="str">
        <f t="shared" si="0"/>
        <v>N3</v>
      </c>
      <c r="E12">
        <v>31461</v>
      </c>
      <c r="F12">
        <v>1916</v>
      </c>
      <c r="G12">
        <v>6.09</v>
      </c>
      <c r="H12">
        <v>7216.62</v>
      </c>
      <c r="I12">
        <v>229.38</v>
      </c>
      <c r="J12">
        <v>3.77</v>
      </c>
      <c r="K12">
        <v>16</v>
      </c>
      <c r="L12">
        <v>11183</v>
      </c>
      <c r="M12">
        <v>71</v>
      </c>
      <c r="N12">
        <v>52959.02</v>
      </c>
      <c r="O12">
        <v>87</v>
      </c>
      <c r="P12">
        <v>64142.02</v>
      </c>
      <c r="Q12">
        <v>0</v>
      </c>
      <c r="R12">
        <v>0</v>
      </c>
      <c r="S12">
        <v>341</v>
      </c>
      <c r="T12">
        <v>611</v>
      </c>
      <c r="U12">
        <v>952</v>
      </c>
      <c r="V12">
        <v>7.58</v>
      </c>
      <c r="W12">
        <v>4.54</v>
      </c>
      <c r="X12">
        <v>82.95</v>
      </c>
      <c r="Y12">
        <v>8.89</v>
      </c>
      <c r="AD12" s="26" t="s">
        <v>71</v>
      </c>
      <c r="AE12" t="s">
        <v>72</v>
      </c>
      <c r="AF12" t="s">
        <v>20</v>
      </c>
    </row>
    <row r="13" spans="1:32" customFormat="1" ht="14.4" x14ac:dyDescent="0.25">
      <c r="A13" t="s">
        <v>68</v>
      </c>
      <c r="B13" s="26" t="s">
        <v>60</v>
      </c>
      <c r="C13" t="s">
        <v>61</v>
      </c>
      <c r="D13" t="str">
        <f t="shared" si="0"/>
        <v>N1</v>
      </c>
      <c r="E13">
        <v>14386</v>
      </c>
      <c r="F13">
        <v>467</v>
      </c>
      <c r="G13">
        <v>3.25</v>
      </c>
      <c r="H13">
        <v>737.75</v>
      </c>
      <c r="I13">
        <v>51.28</v>
      </c>
      <c r="J13">
        <v>1.58</v>
      </c>
      <c r="K13">
        <v>5</v>
      </c>
      <c r="L13">
        <v>2187.87</v>
      </c>
      <c r="M13">
        <v>9</v>
      </c>
      <c r="N13">
        <v>5546.23</v>
      </c>
      <c r="O13">
        <v>14</v>
      </c>
      <c r="P13">
        <v>7734.1</v>
      </c>
      <c r="Q13">
        <v>0</v>
      </c>
      <c r="R13">
        <v>0</v>
      </c>
      <c r="S13">
        <v>78</v>
      </c>
      <c r="T13">
        <v>59</v>
      </c>
      <c r="U13">
        <v>137</v>
      </c>
      <c r="V13">
        <v>5.39</v>
      </c>
      <c r="W13">
        <v>3</v>
      </c>
      <c r="X13">
        <v>52.7</v>
      </c>
      <c r="Y13">
        <v>10.48</v>
      </c>
      <c r="AD13" s="26" t="s">
        <v>73</v>
      </c>
      <c r="AE13" t="s">
        <v>74</v>
      </c>
      <c r="AF13" t="s">
        <v>18</v>
      </c>
    </row>
    <row r="14" spans="1:32" customFormat="1" ht="14.4" x14ac:dyDescent="0.25">
      <c r="A14" t="s">
        <v>68</v>
      </c>
      <c r="B14" s="26" t="s">
        <v>66</v>
      </c>
      <c r="C14" t="s">
        <v>67</v>
      </c>
      <c r="D14" t="str">
        <f t="shared" si="0"/>
        <v>N1</v>
      </c>
      <c r="E14">
        <v>7531</v>
      </c>
      <c r="F14">
        <v>174</v>
      </c>
      <c r="G14">
        <v>2.31</v>
      </c>
      <c r="H14">
        <v>343.65</v>
      </c>
      <c r="I14">
        <v>45.63</v>
      </c>
      <c r="J14">
        <v>1.98</v>
      </c>
      <c r="K14">
        <v>1</v>
      </c>
      <c r="L14">
        <v>428.4</v>
      </c>
      <c r="M14">
        <v>2</v>
      </c>
      <c r="N14">
        <v>1020</v>
      </c>
      <c r="O14">
        <v>3</v>
      </c>
      <c r="P14">
        <v>1448.4</v>
      </c>
      <c r="Q14">
        <v>0</v>
      </c>
      <c r="R14">
        <v>0</v>
      </c>
      <c r="S14">
        <v>43</v>
      </c>
      <c r="T14">
        <v>37</v>
      </c>
      <c r="U14">
        <v>80</v>
      </c>
      <c r="V14">
        <v>4.3</v>
      </c>
      <c r="W14">
        <v>1.72</v>
      </c>
      <c r="X14">
        <v>114.55</v>
      </c>
      <c r="Y14">
        <v>4.21</v>
      </c>
      <c r="AD14" s="26" t="s">
        <v>75</v>
      </c>
      <c r="AE14" t="s">
        <v>76</v>
      </c>
      <c r="AF14" t="s">
        <v>18</v>
      </c>
    </row>
    <row r="15" spans="1:32" customFormat="1" ht="14.4" x14ac:dyDescent="0.25">
      <c r="A15" t="s">
        <v>68</v>
      </c>
      <c r="B15" s="26" t="s">
        <v>62</v>
      </c>
      <c r="C15" t="s">
        <v>63</v>
      </c>
      <c r="D15" t="str">
        <f t="shared" si="0"/>
        <v>N1</v>
      </c>
      <c r="E15">
        <v>6625</v>
      </c>
      <c r="F15">
        <v>255</v>
      </c>
      <c r="G15">
        <v>3.85</v>
      </c>
      <c r="H15">
        <v>417.92</v>
      </c>
      <c r="I15">
        <v>63.08</v>
      </c>
      <c r="J15">
        <v>1.64</v>
      </c>
      <c r="K15">
        <v>2</v>
      </c>
      <c r="L15">
        <v>903.7</v>
      </c>
      <c r="M15">
        <v>5</v>
      </c>
      <c r="N15">
        <v>2518.1</v>
      </c>
      <c r="O15">
        <v>7</v>
      </c>
      <c r="P15">
        <v>3421.8</v>
      </c>
      <c r="Q15">
        <v>0</v>
      </c>
      <c r="R15">
        <v>0</v>
      </c>
      <c r="S15">
        <v>50</v>
      </c>
      <c r="T15">
        <v>49</v>
      </c>
      <c r="U15">
        <v>99</v>
      </c>
      <c r="V15">
        <v>4.22</v>
      </c>
      <c r="W15">
        <v>2.75</v>
      </c>
      <c r="X15">
        <v>59.7</v>
      </c>
      <c r="Y15">
        <v>8.19</v>
      </c>
      <c r="AD15" s="26" t="s">
        <v>77</v>
      </c>
      <c r="AE15" t="s">
        <v>78</v>
      </c>
      <c r="AF15" t="s">
        <v>21</v>
      </c>
    </row>
    <row r="16" spans="1:32" customFormat="1" ht="14.4" x14ac:dyDescent="0.25">
      <c r="A16" t="s">
        <v>68</v>
      </c>
      <c r="B16" s="26" t="s">
        <v>64</v>
      </c>
      <c r="C16" t="s">
        <v>65</v>
      </c>
      <c r="D16" t="str">
        <f t="shared" si="0"/>
        <v>N3</v>
      </c>
      <c r="E16">
        <v>797</v>
      </c>
      <c r="F16">
        <v>125</v>
      </c>
      <c r="G16">
        <v>15.68</v>
      </c>
      <c r="H16">
        <v>587.16999999999996</v>
      </c>
      <c r="I16">
        <v>736.73</v>
      </c>
      <c r="J16">
        <v>4.7</v>
      </c>
      <c r="K16">
        <v>0</v>
      </c>
      <c r="L16">
        <v>0</v>
      </c>
      <c r="M16">
        <v>6</v>
      </c>
      <c r="N16">
        <v>4435.84</v>
      </c>
      <c r="O16">
        <v>6</v>
      </c>
      <c r="P16">
        <v>4435.84</v>
      </c>
      <c r="Q16">
        <v>0</v>
      </c>
      <c r="R16">
        <v>0</v>
      </c>
      <c r="S16">
        <v>9</v>
      </c>
      <c r="T16">
        <v>56</v>
      </c>
      <c r="U16">
        <v>65</v>
      </c>
      <c r="V16">
        <v>9.0299999999999994</v>
      </c>
      <c r="W16">
        <v>4.8</v>
      </c>
      <c r="X16">
        <v>97.86</v>
      </c>
      <c r="Y16">
        <v>7.55</v>
      </c>
      <c r="AD16" s="26" t="s">
        <v>79</v>
      </c>
      <c r="AE16" t="s">
        <v>80</v>
      </c>
      <c r="AF16" t="s">
        <v>21</v>
      </c>
    </row>
    <row r="17" spans="1:32" customFormat="1" ht="14.4" x14ac:dyDescent="0.25">
      <c r="A17" t="s">
        <v>81</v>
      </c>
      <c r="B17" s="26" t="s">
        <v>50</v>
      </c>
      <c r="C17" t="s">
        <v>51</v>
      </c>
      <c r="D17" t="str">
        <f t="shared" si="0"/>
        <v>S1</v>
      </c>
      <c r="E17">
        <v>821793</v>
      </c>
      <c r="F17">
        <v>11048</v>
      </c>
      <c r="G17">
        <v>1.34</v>
      </c>
      <c r="H17">
        <v>23535.45</v>
      </c>
      <c r="I17">
        <v>28.64</v>
      </c>
      <c r="J17">
        <v>2.13</v>
      </c>
      <c r="K17">
        <v>48</v>
      </c>
      <c r="L17">
        <v>262080</v>
      </c>
      <c r="M17">
        <v>25</v>
      </c>
      <c r="N17">
        <v>18648.8</v>
      </c>
      <c r="O17">
        <v>73</v>
      </c>
      <c r="P17">
        <v>280728.8</v>
      </c>
      <c r="Q17">
        <v>45</v>
      </c>
      <c r="R17">
        <v>257283</v>
      </c>
      <c r="S17">
        <v>735</v>
      </c>
      <c r="T17">
        <v>321</v>
      </c>
      <c r="U17">
        <v>1056</v>
      </c>
      <c r="V17">
        <v>22.29</v>
      </c>
      <c r="W17">
        <v>0.66</v>
      </c>
      <c r="X17">
        <v>322.39999999999998</v>
      </c>
      <c r="Y17">
        <v>11.93</v>
      </c>
      <c r="AD17" s="26" t="s">
        <v>82</v>
      </c>
      <c r="AE17" t="s">
        <v>83</v>
      </c>
      <c r="AF17" t="s">
        <v>21</v>
      </c>
    </row>
    <row r="18" spans="1:32" customFormat="1" ht="14.4" x14ac:dyDescent="0.25">
      <c r="A18" t="s">
        <v>81</v>
      </c>
      <c r="B18" s="26" t="s">
        <v>48</v>
      </c>
      <c r="C18" t="s">
        <v>49</v>
      </c>
      <c r="D18" t="str">
        <f t="shared" si="0"/>
        <v>N2</v>
      </c>
      <c r="E18">
        <v>109934</v>
      </c>
      <c r="F18">
        <v>10409</v>
      </c>
      <c r="G18">
        <v>9.4700000000000006</v>
      </c>
      <c r="H18">
        <v>24509.71</v>
      </c>
      <c r="I18">
        <v>222.95</v>
      </c>
      <c r="J18">
        <v>2.35</v>
      </c>
      <c r="K18">
        <v>263</v>
      </c>
      <c r="L18">
        <v>203995.6</v>
      </c>
      <c r="M18">
        <v>38</v>
      </c>
      <c r="N18">
        <v>31664.7</v>
      </c>
      <c r="O18">
        <v>301</v>
      </c>
      <c r="P18">
        <v>235660.3</v>
      </c>
      <c r="Q18">
        <v>0</v>
      </c>
      <c r="R18">
        <v>0</v>
      </c>
      <c r="S18">
        <v>1924</v>
      </c>
      <c r="T18">
        <v>687</v>
      </c>
      <c r="U18">
        <v>2611</v>
      </c>
      <c r="V18">
        <v>9.39</v>
      </c>
      <c r="W18">
        <v>2.89</v>
      </c>
      <c r="X18">
        <v>81.430000000000007</v>
      </c>
      <c r="Y18">
        <v>9.61</v>
      </c>
      <c r="AD18" s="26" t="s">
        <v>84</v>
      </c>
      <c r="AF18" t="s">
        <v>19</v>
      </c>
    </row>
    <row r="19" spans="1:32" customFormat="1" ht="14.4" x14ac:dyDescent="0.25">
      <c r="A19" t="s">
        <v>81</v>
      </c>
      <c r="B19" s="26" t="s">
        <v>52</v>
      </c>
      <c r="C19" t="s">
        <v>53</v>
      </c>
      <c r="D19" t="str">
        <f t="shared" si="0"/>
        <v>N2</v>
      </c>
      <c r="E19">
        <v>60154</v>
      </c>
      <c r="F19">
        <v>4438</v>
      </c>
      <c r="G19">
        <v>7.38</v>
      </c>
      <c r="H19">
        <v>9852.4500000000007</v>
      </c>
      <c r="I19">
        <v>163.79</v>
      </c>
      <c r="J19">
        <v>2.2200000000000002</v>
      </c>
      <c r="K19">
        <v>68</v>
      </c>
      <c r="L19">
        <v>66753.2</v>
      </c>
      <c r="M19">
        <v>48</v>
      </c>
      <c r="N19">
        <v>38059</v>
      </c>
      <c r="O19">
        <v>116</v>
      </c>
      <c r="P19">
        <v>104812.2</v>
      </c>
      <c r="Q19">
        <v>4</v>
      </c>
      <c r="R19">
        <v>8796</v>
      </c>
      <c r="S19">
        <v>510</v>
      </c>
      <c r="T19">
        <v>372</v>
      </c>
      <c r="U19">
        <v>882</v>
      </c>
      <c r="V19">
        <v>11.17</v>
      </c>
      <c r="W19">
        <v>2.61</v>
      </c>
      <c r="X19">
        <v>84.93</v>
      </c>
      <c r="Y19">
        <v>10.64</v>
      </c>
      <c r="AD19" s="26" t="s">
        <v>85</v>
      </c>
      <c r="AE19" t="s">
        <v>86</v>
      </c>
      <c r="AF19" t="s">
        <v>19</v>
      </c>
    </row>
    <row r="20" spans="1:32" customFormat="1" ht="14.4" x14ac:dyDescent="0.25">
      <c r="A20" t="s">
        <v>81</v>
      </c>
      <c r="B20" s="26" t="s">
        <v>58</v>
      </c>
      <c r="C20" t="s">
        <v>59</v>
      </c>
      <c r="D20" t="str">
        <f t="shared" si="0"/>
        <v>N3</v>
      </c>
      <c r="E20">
        <v>32292</v>
      </c>
      <c r="F20">
        <v>1707</v>
      </c>
      <c r="G20">
        <v>5.29</v>
      </c>
      <c r="H20">
        <v>4789.12</v>
      </c>
      <c r="I20">
        <v>148.31</v>
      </c>
      <c r="J20">
        <v>2.81</v>
      </c>
      <c r="K20">
        <v>16</v>
      </c>
      <c r="L20">
        <v>10404</v>
      </c>
      <c r="M20">
        <v>27</v>
      </c>
      <c r="N20">
        <v>18808.5</v>
      </c>
      <c r="O20">
        <v>43</v>
      </c>
      <c r="P20">
        <v>29212.5</v>
      </c>
      <c r="Q20">
        <v>0</v>
      </c>
      <c r="R20">
        <v>0</v>
      </c>
      <c r="S20">
        <v>385</v>
      </c>
      <c r="T20">
        <v>282</v>
      </c>
      <c r="U20">
        <v>667</v>
      </c>
      <c r="V20">
        <v>7.18</v>
      </c>
      <c r="W20">
        <v>2.52</v>
      </c>
      <c r="X20">
        <v>111.37</v>
      </c>
      <c r="Y20">
        <v>6.1</v>
      </c>
      <c r="AD20" s="26" t="s">
        <v>87</v>
      </c>
      <c r="AE20" t="s">
        <v>88</v>
      </c>
      <c r="AF20" t="s">
        <v>19</v>
      </c>
    </row>
    <row r="21" spans="1:32" customFormat="1" ht="14.4" x14ac:dyDescent="0.25">
      <c r="A21" t="s">
        <v>81</v>
      </c>
      <c r="B21" s="26" t="s">
        <v>55</v>
      </c>
      <c r="C21" t="s">
        <v>56</v>
      </c>
      <c r="D21" t="str">
        <f t="shared" si="0"/>
        <v>N3</v>
      </c>
      <c r="E21">
        <v>17848</v>
      </c>
      <c r="F21">
        <v>919</v>
      </c>
      <c r="G21">
        <v>5.15</v>
      </c>
      <c r="H21">
        <v>3500.08</v>
      </c>
      <c r="I21">
        <v>196.1</v>
      </c>
      <c r="J21">
        <v>3.81</v>
      </c>
      <c r="K21">
        <v>13</v>
      </c>
      <c r="L21">
        <v>8457</v>
      </c>
      <c r="M21">
        <v>18</v>
      </c>
      <c r="N21">
        <v>18007.900000000001</v>
      </c>
      <c r="O21">
        <v>31</v>
      </c>
      <c r="P21">
        <v>26464.9</v>
      </c>
      <c r="Q21">
        <v>3</v>
      </c>
      <c r="R21">
        <v>6597</v>
      </c>
      <c r="S21">
        <v>134</v>
      </c>
      <c r="T21">
        <v>252</v>
      </c>
      <c r="U21">
        <v>386</v>
      </c>
      <c r="V21">
        <v>9.07</v>
      </c>
      <c r="W21">
        <v>3.37</v>
      </c>
      <c r="X21">
        <v>112.91</v>
      </c>
      <c r="Y21">
        <v>7.56</v>
      </c>
    </row>
    <row r="22" spans="1:32" customFormat="1" ht="14.4" x14ac:dyDescent="0.25">
      <c r="A22" t="s">
        <v>81</v>
      </c>
      <c r="B22" s="26" t="s">
        <v>60</v>
      </c>
      <c r="C22" t="s">
        <v>61</v>
      </c>
      <c r="D22" t="str">
        <f t="shared" si="0"/>
        <v>N1</v>
      </c>
      <c r="E22">
        <v>16042</v>
      </c>
      <c r="F22">
        <v>468</v>
      </c>
      <c r="G22">
        <v>2.92</v>
      </c>
      <c r="H22">
        <v>926.68</v>
      </c>
      <c r="I22">
        <v>57.77</v>
      </c>
      <c r="J22">
        <v>1.98</v>
      </c>
      <c r="K22">
        <v>2</v>
      </c>
      <c r="L22">
        <v>953.2</v>
      </c>
      <c r="M22">
        <v>5</v>
      </c>
      <c r="N22">
        <v>2382.4</v>
      </c>
      <c r="O22">
        <v>7</v>
      </c>
      <c r="P22">
        <v>3335.6</v>
      </c>
      <c r="Q22">
        <v>0</v>
      </c>
      <c r="R22">
        <v>0</v>
      </c>
      <c r="S22">
        <v>46</v>
      </c>
      <c r="T22">
        <v>57</v>
      </c>
      <c r="U22">
        <v>103</v>
      </c>
      <c r="V22">
        <v>9</v>
      </c>
      <c r="W22">
        <v>1.5</v>
      </c>
      <c r="X22">
        <v>132.38</v>
      </c>
      <c r="Y22">
        <v>3.6</v>
      </c>
    </row>
    <row r="23" spans="1:32" customFormat="1" ht="14.4" x14ac:dyDescent="0.25">
      <c r="A23" t="s">
        <v>81</v>
      </c>
      <c r="B23" s="26" t="s">
        <v>62</v>
      </c>
      <c r="C23" t="s">
        <v>63</v>
      </c>
      <c r="D23" t="str">
        <f t="shared" si="0"/>
        <v>N1</v>
      </c>
      <c r="E23">
        <v>15748</v>
      </c>
      <c r="F23">
        <v>619</v>
      </c>
      <c r="G23">
        <v>3.93</v>
      </c>
      <c r="H23">
        <v>1216</v>
      </c>
      <c r="I23">
        <v>77.22</v>
      </c>
      <c r="J23">
        <v>1.96</v>
      </c>
      <c r="K23">
        <v>2</v>
      </c>
      <c r="L23">
        <v>909.3</v>
      </c>
      <c r="M23">
        <v>4</v>
      </c>
      <c r="N23">
        <v>1774.7</v>
      </c>
      <c r="O23">
        <v>6</v>
      </c>
      <c r="P23">
        <v>2684</v>
      </c>
      <c r="Q23">
        <v>0</v>
      </c>
      <c r="R23">
        <v>0</v>
      </c>
      <c r="S23">
        <v>56</v>
      </c>
      <c r="T23">
        <v>48</v>
      </c>
      <c r="U23">
        <v>104</v>
      </c>
      <c r="V23">
        <v>11.69</v>
      </c>
      <c r="W23">
        <v>0.97</v>
      </c>
      <c r="X23">
        <v>202.67</v>
      </c>
      <c r="Y23">
        <v>2.21</v>
      </c>
    </row>
    <row r="24" spans="1:32" customFormat="1" ht="14.4" x14ac:dyDescent="0.25">
      <c r="A24" t="s">
        <v>81</v>
      </c>
      <c r="B24" s="26" t="s">
        <v>66</v>
      </c>
      <c r="C24" t="s">
        <v>67</v>
      </c>
      <c r="D24" t="str">
        <f t="shared" si="0"/>
        <v>N1</v>
      </c>
      <c r="E24">
        <v>11367</v>
      </c>
      <c r="F24">
        <v>254</v>
      </c>
      <c r="G24">
        <v>2.23</v>
      </c>
      <c r="H24">
        <v>468.64</v>
      </c>
      <c r="I24">
        <v>41.23</v>
      </c>
      <c r="J24">
        <v>1.85</v>
      </c>
      <c r="K24">
        <v>1</v>
      </c>
      <c r="L24">
        <v>432.7</v>
      </c>
      <c r="M24">
        <v>6</v>
      </c>
      <c r="N24">
        <v>5773.1</v>
      </c>
      <c r="O24">
        <v>7</v>
      </c>
      <c r="P24">
        <v>6205.8</v>
      </c>
      <c r="Q24">
        <v>1</v>
      </c>
      <c r="R24">
        <v>2199</v>
      </c>
      <c r="S24">
        <v>26</v>
      </c>
      <c r="T24">
        <v>29</v>
      </c>
      <c r="U24">
        <v>55</v>
      </c>
      <c r="V24">
        <v>8.52</v>
      </c>
      <c r="W24">
        <v>2.76</v>
      </c>
      <c r="X24">
        <v>66.95</v>
      </c>
      <c r="Y24">
        <v>13.24</v>
      </c>
    </row>
    <row r="25" spans="1:32" customFormat="1" ht="14.4" x14ac:dyDescent="0.25">
      <c r="A25" t="s">
        <v>81</v>
      </c>
      <c r="B25" s="26" t="s">
        <v>64</v>
      </c>
      <c r="C25" t="s">
        <v>65</v>
      </c>
      <c r="D25" t="str">
        <f t="shared" si="0"/>
        <v>N3</v>
      </c>
      <c r="E25">
        <v>4819</v>
      </c>
      <c r="F25">
        <v>125</v>
      </c>
      <c r="G25">
        <v>2.59</v>
      </c>
      <c r="H25">
        <v>445.55</v>
      </c>
      <c r="I25">
        <v>92.46</v>
      </c>
      <c r="J25">
        <v>3.56</v>
      </c>
      <c r="K25">
        <v>1</v>
      </c>
      <c r="L25">
        <v>759</v>
      </c>
      <c r="M25">
        <v>1</v>
      </c>
      <c r="N25">
        <v>954.4</v>
      </c>
      <c r="O25">
        <v>2</v>
      </c>
      <c r="P25">
        <v>1713.4</v>
      </c>
      <c r="Q25">
        <v>0</v>
      </c>
      <c r="R25">
        <v>0</v>
      </c>
      <c r="S25">
        <v>19</v>
      </c>
      <c r="T25">
        <v>4</v>
      </c>
      <c r="U25">
        <v>23</v>
      </c>
      <c r="V25">
        <v>19.37</v>
      </c>
      <c r="W25">
        <v>1.6</v>
      </c>
      <c r="X25">
        <v>222.78</v>
      </c>
      <c r="Y25">
        <v>3.85</v>
      </c>
    </row>
    <row r="26" spans="1:32" customFormat="1" ht="14.4" x14ac:dyDescent="0.25">
      <c r="A26" t="s">
        <v>89</v>
      </c>
      <c r="B26" s="26" t="s">
        <v>50</v>
      </c>
      <c r="C26" t="s">
        <v>51</v>
      </c>
      <c r="D26" t="str">
        <f t="shared" si="0"/>
        <v>S1</v>
      </c>
      <c r="E26">
        <v>2310151</v>
      </c>
      <c r="F26">
        <v>32212</v>
      </c>
      <c r="G26">
        <v>1.39</v>
      </c>
      <c r="H26">
        <v>61807.53</v>
      </c>
      <c r="I26">
        <v>26.75</v>
      </c>
      <c r="J26">
        <v>1.92</v>
      </c>
      <c r="K26">
        <v>102</v>
      </c>
      <c r="L26">
        <v>700280</v>
      </c>
      <c r="M26">
        <v>79</v>
      </c>
      <c r="N26">
        <v>55097.599999999999</v>
      </c>
      <c r="O26">
        <v>181</v>
      </c>
      <c r="P26">
        <v>755377.6</v>
      </c>
      <c r="Q26">
        <v>27</v>
      </c>
      <c r="R26">
        <v>523362</v>
      </c>
      <c r="S26">
        <v>2245</v>
      </c>
      <c r="T26">
        <v>833</v>
      </c>
      <c r="U26">
        <v>3078</v>
      </c>
      <c r="V26">
        <v>20.079999999999998</v>
      </c>
      <c r="W26">
        <v>0.56000000000000005</v>
      </c>
      <c r="X26">
        <v>341.48</v>
      </c>
      <c r="Y26">
        <v>12.22</v>
      </c>
    </row>
    <row r="27" spans="1:32" customFormat="1" ht="14.4" x14ac:dyDescent="0.25">
      <c r="A27" t="s">
        <v>89</v>
      </c>
      <c r="B27" s="26" t="s">
        <v>48</v>
      </c>
      <c r="C27" t="s">
        <v>49</v>
      </c>
      <c r="D27" t="str">
        <f t="shared" si="0"/>
        <v>N2</v>
      </c>
      <c r="E27">
        <v>91611</v>
      </c>
      <c r="F27">
        <v>8365</v>
      </c>
      <c r="G27">
        <v>9.1300000000000008</v>
      </c>
      <c r="H27">
        <v>18748.78</v>
      </c>
      <c r="I27">
        <v>204.66</v>
      </c>
      <c r="J27">
        <v>2.2400000000000002</v>
      </c>
      <c r="K27">
        <v>211</v>
      </c>
      <c r="L27">
        <v>155739.1</v>
      </c>
      <c r="M27">
        <v>46</v>
      </c>
      <c r="N27">
        <v>35587.4</v>
      </c>
      <c r="O27">
        <v>257</v>
      </c>
      <c r="P27">
        <v>191326.5</v>
      </c>
      <c r="Q27">
        <v>0</v>
      </c>
      <c r="R27">
        <v>0</v>
      </c>
      <c r="S27">
        <v>1606</v>
      </c>
      <c r="T27">
        <v>641</v>
      </c>
      <c r="U27">
        <v>2247</v>
      </c>
      <c r="V27">
        <v>8.34</v>
      </c>
      <c r="W27">
        <v>3.07</v>
      </c>
      <c r="X27">
        <v>72.95</v>
      </c>
      <c r="Y27">
        <v>10.199999999999999</v>
      </c>
    </row>
    <row r="28" spans="1:32" customFormat="1" ht="14.4" x14ac:dyDescent="0.25">
      <c r="A28" t="s">
        <v>89</v>
      </c>
      <c r="B28" s="26" t="s">
        <v>52</v>
      </c>
      <c r="C28" t="s">
        <v>53</v>
      </c>
      <c r="D28" t="str">
        <f t="shared" si="0"/>
        <v>N2</v>
      </c>
      <c r="E28">
        <v>42734</v>
      </c>
      <c r="F28">
        <v>2696</v>
      </c>
      <c r="G28">
        <v>6.31</v>
      </c>
      <c r="H28">
        <v>6444.35</v>
      </c>
      <c r="I28">
        <v>150.80000000000001</v>
      </c>
      <c r="J28">
        <v>2.39</v>
      </c>
      <c r="K28">
        <v>52</v>
      </c>
      <c r="L28">
        <v>47288</v>
      </c>
      <c r="M28">
        <v>45</v>
      </c>
      <c r="N28">
        <v>32905.699999999997</v>
      </c>
      <c r="O28">
        <v>97</v>
      </c>
      <c r="P28">
        <v>80193.7</v>
      </c>
      <c r="Q28">
        <v>0</v>
      </c>
      <c r="R28">
        <v>0</v>
      </c>
      <c r="S28">
        <v>407</v>
      </c>
      <c r="T28">
        <v>273</v>
      </c>
      <c r="U28">
        <v>680</v>
      </c>
      <c r="V28">
        <v>9.48</v>
      </c>
      <c r="W28">
        <v>3.6</v>
      </c>
      <c r="X28">
        <v>66.44</v>
      </c>
      <c r="Y28">
        <v>12.44</v>
      </c>
    </row>
    <row r="29" spans="1:32" customFormat="1" ht="14.4" x14ac:dyDescent="0.25">
      <c r="A29" t="s">
        <v>89</v>
      </c>
      <c r="B29" s="26" t="s">
        <v>58</v>
      </c>
      <c r="C29" t="s">
        <v>59</v>
      </c>
      <c r="D29" t="str">
        <f t="shared" si="0"/>
        <v>N3</v>
      </c>
      <c r="E29">
        <v>1980</v>
      </c>
      <c r="F29">
        <v>94</v>
      </c>
      <c r="G29">
        <v>4.75</v>
      </c>
      <c r="H29">
        <v>311.2</v>
      </c>
      <c r="I29">
        <v>157.16999999999999</v>
      </c>
      <c r="J29">
        <v>3.31</v>
      </c>
      <c r="K29">
        <v>0</v>
      </c>
      <c r="L29">
        <v>0</v>
      </c>
      <c r="M29">
        <v>3</v>
      </c>
      <c r="N29">
        <v>23398</v>
      </c>
      <c r="O29">
        <v>3</v>
      </c>
      <c r="P29">
        <v>23398</v>
      </c>
      <c r="Q29">
        <v>1</v>
      </c>
      <c r="R29">
        <v>21990</v>
      </c>
      <c r="S29">
        <v>7</v>
      </c>
      <c r="T29">
        <v>15</v>
      </c>
      <c r="U29">
        <v>22</v>
      </c>
      <c r="V29">
        <v>14.15</v>
      </c>
      <c r="W29">
        <v>3.19</v>
      </c>
      <c r="X29">
        <v>103.73</v>
      </c>
      <c r="Y29">
        <v>75.19</v>
      </c>
    </row>
    <row r="30" spans="1:32" customFormat="1" ht="14.4" x14ac:dyDescent="0.25">
      <c r="A30" t="s">
        <v>89</v>
      </c>
      <c r="B30" s="26" t="s">
        <v>60</v>
      </c>
      <c r="C30" t="s">
        <v>61</v>
      </c>
      <c r="D30" t="str">
        <f t="shared" si="0"/>
        <v>N1</v>
      </c>
      <c r="E30">
        <v>939</v>
      </c>
      <c r="F30">
        <v>29</v>
      </c>
      <c r="G30">
        <v>3.09</v>
      </c>
      <c r="H30">
        <v>98.55</v>
      </c>
      <c r="I30">
        <v>104.95</v>
      </c>
      <c r="J30">
        <v>3.4</v>
      </c>
      <c r="K30">
        <v>0</v>
      </c>
      <c r="L30">
        <v>0</v>
      </c>
      <c r="M30">
        <v>1</v>
      </c>
      <c r="N30">
        <v>451.5</v>
      </c>
      <c r="O30">
        <v>1</v>
      </c>
      <c r="P30">
        <v>451.5</v>
      </c>
      <c r="Q30">
        <v>0</v>
      </c>
      <c r="R30">
        <v>0</v>
      </c>
      <c r="S30">
        <v>6</v>
      </c>
      <c r="T30">
        <v>3</v>
      </c>
      <c r="U30">
        <v>9</v>
      </c>
      <c r="V30">
        <v>10.95</v>
      </c>
      <c r="W30">
        <v>3.45</v>
      </c>
      <c r="X30">
        <v>98.55</v>
      </c>
      <c r="Y30">
        <v>4.58</v>
      </c>
    </row>
    <row r="31" spans="1:32" customFormat="1" ht="14.4" x14ac:dyDescent="0.25">
      <c r="A31" t="s">
        <v>89</v>
      </c>
      <c r="B31" s="26" t="s">
        <v>64</v>
      </c>
      <c r="C31" t="s">
        <v>65</v>
      </c>
      <c r="D31" t="str">
        <f t="shared" si="0"/>
        <v>N3</v>
      </c>
      <c r="E31">
        <v>707</v>
      </c>
      <c r="F31">
        <v>20</v>
      </c>
      <c r="G31">
        <v>2.83</v>
      </c>
      <c r="H31">
        <v>66.19</v>
      </c>
      <c r="I31">
        <v>93.62</v>
      </c>
      <c r="J31">
        <v>3.31</v>
      </c>
      <c r="K31">
        <v>1</v>
      </c>
      <c r="L31">
        <v>759</v>
      </c>
      <c r="M31">
        <v>0</v>
      </c>
      <c r="N31">
        <v>0</v>
      </c>
      <c r="O31">
        <v>1</v>
      </c>
      <c r="P31">
        <v>759</v>
      </c>
      <c r="Q31">
        <v>0</v>
      </c>
      <c r="R31">
        <v>0</v>
      </c>
      <c r="S31">
        <v>3</v>
      </c>
      <c r="T31">
        <v>1</v>
      </c>
      <c r="U31">
        <v>4</v>
      </c>
      <c r="V31">
        <v>16.55</v>
      </c>
      <c r="W31">
        <v>5</v>
      </c>
      <c r="X31">
        <v>66.19</v>
      </c>
      <c r="Y31">
        <v>11.47</v>
      </c>
    </row>
    <row r="32" spans="1:32" customFormat="1" ht="14.4" x14ac:dyDescent="0.25">
      <c r="A32" t="s">
        <v>89</v>
      </c>
      <c r="B32" s="26" t="s">
        <v>62</v>
      </c>
      <c r="C32" t="s">
        <v>63</v>
      </c>
      <c r="D32" t="str">
        <f t="shared" si="0"/>
        <v>N1</v>
      </c>
      <c r="E32">
        <v>678</v>
      </c>
      <c r="F32">
        <v>15</v>
      </c>
      <c r="G32">
        <v>2.21</v>
      </c>
      <c r="H32">
        <v>55.81</v>
      </c>
      <c r="I32">
        <v>82.32</v>
      </c>
      <c r="J32">
        <v>3.72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1</v>
      </c>
      <c r="V32">
        <v>55.81</v>
      </c>
      <c r="W32">
        <v>0</v>
      </c>
      <c r="X32">
        <v>0</v>
      </c>
      <c r="Y32">
        <v>0</v>
      </c>
    </row>
    <row r="33" spans="1:25" customFormat="1" ht="14.4" x14ac:dyDescent="0.25">
      <c r="A33" t="s">
        <v>89</v>
      </c>
      <c r="B33" s="26" t="s">
        <v>55</v>
      </c>
      <c r="C33" t="s">
        <v>56</v>
      </c>
      <c r="D33" t="str">
        <f t="shared" si="0"/>
        <v>N3</v>
      </c>
      <c r="E33">
        <v>659</v>
      </c>
      <c r="F33">
        <v>21</v>
      </c>
      <c r="G33">
        <v>3.19</v>
      </c>
      <c r="H33">
        <v>71.25</v>
      </c>
      <c r="I33">
        <v>108.12</v>
      </c>
      <c r="J33">
        <v>3.39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</v>
      </c>
      <c r="T33">
        <v>2</v>
      </c>
      <c r="U33">
        <v>4</v>
      </c>
      <c r="V33">
        <v>17.809999999999999</v>
      </c>
      <c r="W33">
        <v>0</v>
      </c>
      <c r="X33">
        <v>0</v>
      </c>
      <c r="Y33">
        <v>0</v>
      </c>
    </row>
    <row r="34" spans="1:25" customFormat="1" ht="14.4" x14ac:dyDescent="0.25">
      <c r="A34" t="s">
        <v>89</v>
      </c>
      <c r="B34" s="26" t="s">
        <v>66</v>
      </c>
      <c r="C34" t="s">
        <v>67</v>
      </c>
      <c r="D34" t="str">
        <f t="shared" si="0"/>
        <v>N1</v>
      </c>
      <c r="E34">
        <v>443</v>
      </c>
      <c r="F34">
        <v>12</v>
      </c>
      <c r="G34">
        <v>2.71</v>
      </c>
      <c r="H34">
        <v>47.45</v>
      </c>
      <c r="I34">
        <v>107.11</v>
      </c>
      <c r="J34">
        <v>3.95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</v>
      </c>
      <c r="T34">
        <v>2</v>
      </c>
      <c r="U34">
        <v>4</v>
      </c>
      <c r="V34">
        <v>11.86</v>
      </c>
      <c r="W34">
        <v>0</v>
      </c>
      <c r="X34">
        <v>0</v>
      </c>
      <c r="Y34">
        <v>0</v>
      </c>
    </row>
    <row r="35" spans="1:25" customFormat="1" ht="14.4" x14ac:dyDescent="0.25">
      <c r="A35" t="s">
        <v>90</v>
      </c>
      <c r="B35" s="26" t="s">
        <v>50</v>
      </c>
      <c r="C35" t="s">
        <v>51</v>
      </c>
      <c r="D35" t="str">
        <f t="shared" si="0"/>
        <v>S1</v>
      </c>
      <c r="E35">
        <v>1575677</v>
      </c>
      <c r="F35">
        <v>35131</v>
      </c>
      <c r="G35">
        <v>2.23</v>
      </c>
      <c r="H35">
        <v>65801.78</v>
      </c>
      <c r="I35">
        <v>41.76</v>
      </c>
      <c r="J35">
        <v>1.87</v>
      </c>
      <c r="K35">
        <v>223</v>
      </c>
      <c r="L35">
        <v>347006.39</v>
      </c>
      <c r="M35">
        <v>158</v>
      </c>
      <c r="N35">
        <v>109203.06</v>
      </c>
      <c r="O35">
        <v>381</v>
      </c>
      <c r="P35">
        <v>456209.45</v>
      </c>
      <c r="Q35">
        <v>0</v>
      </c>
      <c r="R35">
        <v>0</v>
      </c>
      <c r="S35">
        <v>3644</v>
      </c>
      <c r="T35">
        <v>1749</v>
      </c>
      <c r="U35">
        <v>5393</v>
      </c>
      <c r="V35">
        <v>12.2</v>
      </c>
      <c r="W35">
        <v>1.08</v>
      </c>
      <c r="X35">
        <v>172.71</v>
      </c>
      <c r="Y35">
        <v>6.93</v>
      </c>
    </row>
    <row r="36" spans="1:25" customFormat="1" ht="14.4" x14ac:dyDescent="0.25">
      <c r="A36" t="s">
        <v>90</v>
      </c>
      <c r="B36" s="26" t="s">
        <v>48</v>
      </c>
      <c r="C36" t="s">
        <v>49</v>
      </c>
      <c r="D36" t="str">
        <f t="shared" si="0"/>
        <v>N2</v>
      </c>
      <c r="E36">
        <v>128353</v>
      </c>
      <c r="F36">
        <v>13206</v>
      </c>
      <c r="G36">
        <v>10.29</v>
      </c>
      <c r="H36">
        <v>37360.06</v>
      </c>
      <c r="I36">
        <v>291.07</v>
      </c>
      <c r="J36">
        <v>2.83</v>
      </c>
      <c r="K36">
        <v>476</v>
      </c>
      <c r="L36">
        <v>332621.19</v>
      </c>
      <c r="M36">
        <v>124</v>
      </c>
      <c r="N36">
        <v>90612.74</v>
      </c>
      <c r="O36">
        <v>600</v>
      </c>
      <c r="P36">
        <v>423233.93</v>
      </c>
      <c r="Q36">
        <v>0</v>
      </c>
      <c r="R36">
        <v>0</v>
      </c>
      <c r="S36">
        <v>3937</v>
      </c>
      <c r="T36">
        <v>1360</v>
      </c>
      <c r="U36">
        <v>5297</v>
      </c>
      <c r="V36">
        <v>7.05</v>
      </c>
      <c r="W36">
        <v>4.54</v>
      </c>
      <c r="X36">
        <v>62.27</v>
      </c>
      <c r="Y36">
        <v>11.33</v>
      </c>
    </row>
    <row r="37" spans="1:25" customFormat="1" ht="14.4" x14ac:dyDescent="0.25">
      <c r="A37" t="s">
        <v>90</v>
      </c>
      <c r="B37" s="26" t="s">
        <v>52</v>
      </c>
      <c r="C37" t="s">
        <v>53</v>
      </c>
      <c r="D37" t="str">
        <f t="shared" si="0"/>
        <v>N2</v>
      </c>
      <c r="E37">
        <v>53623</v>
      </c>
      <c r="F37">
        <v>3789</v>
      </c>
      <c r="G37">
        <v>7.07</v>
      </c>
      <c r="H37">
        <v>12214.98</v>
      </c>
      <c r="I37">
        <v>227.79</v>
      </c>
      <c r="J37">
        <v>3.22</v>
      </c>
      <c r="K37">
        <v>145</v>
      </c>
      <c r="L37">
        <v>124180.2</v>
      </c>
      <c r="M37">
        <v>71</v>
      </c>
      <c r="N37">
        <v>45345.1</v>
      </c>
      <c r="O37">
        <v>216</v>
      </c>
      <c r="P37">
        <v>169525.3</v>
      </c>
      <c r="Q37">
        <v>0</v>
      </c>
      <c r="R37">
        <v>0</v>
      </c>
      <c r="S37">
        <v>1088</v>
      </c>
      <c r="T37">
        <v>490</v>
      </c>
      <c r="U37">
        <v>1578</v>
      </c>
      <c r="V37">
        <v>7.74</v>
      </c>
      <c r="W37">
        <v>5.7</v>
      </c>
      <c r="X37">
        <v>56.55</v>
      </c>
      <c r="Y37">
        <v>13.88</v>
      </c>
    </row>
    <row r="38" spans="1:25" customFormat="1" ht="14.4" x14ac:dyDescent="0.25">
      <c r="A38" t="s">
        <v>90</v>
      </c>
      <c r="B38" s="26" t="s">
        <v>58</v>
      </c>
      <c r="C38" t="s">
        <v>59</v>
      </c>
      <c r="D38" t="str">
        <f t="shared" si="0"/>
        <v>N3</v>
      </c>
      <c r="E38">
        <v>21082</v>
      </c>
      <c r="F38">
        <v>1024</v>
      </c>
      <c r="G38">
        <v>4.8600000000000003</v>
      </c>
      <c r="H38">
        <v>2549.3200000000002</v>
      </c>
      <c r="I38">
        <v>120.92</v>
      </c>
      <c r="J38">
        <v>2.4900000000000002</v>
      </c>
      <c r="K38">
        <v>10</v>
      </c>
      <c r="L38">
        <v>6545</v>
      </c>
      <c r="M38">
        <v>22</v>
      </c>
      <c r="N38">
        <v>15121.76</v>
      </c>
      <c r="O38">
        <v>32</v>
      </c>
      <c r="P38">
        <v>21666.76</v>
      </c>
      <c r="Q38">
        <v>0</v>
      </c>
      <c r="R38">
        <v>0</v>
      </c>
      <c r="S38">
        <v>154</v>
      </c>
      <c r="T38">
        <v>207</v>
      </c>
      <c r="U38">
        <v>361</v>
      </c>
      <c r="V38">
        <v>7.06</v>
      </c>
      <c r="W38">
        <v>3.13</v>
      </c>
      <c r="X38">
        <v>79.67</v>
      </c>
      <c r="Y38">
        <v>8.5</v>
      </c>
    </row>
    <row r="39" spans="1:25" customFormat="1" ht="14.4" x14ac:dyDescent="0.25">
      <c r="A39" t="s">
        <v>90</v>
      </c>
      <c r="B39" s="26" t="s">
        <v>62</v>
      </c>
      <c r="C39" t="s">
        <v>63</v>
      </c>
      <c r="D39" t="str">
        <f t="shared" si="0"/>
        <v>N1</v>
      </c>
      <c r="E39">
        <v>11750</v>
      </c>
      <c r="F39">
        <v>453</v>
      </c>
      <c r="G39">
        <v>3.86</v>
      </c>
      <c r="H39">
        <v>616.55999999999995</v>
      </c>
      <c r="I39">
        <v>52.47</v>
      </c>
      <c r="J39">
        <v>1.36</v>
      </c>
      <c r="K39">
        <v>7</v>
      </c>
      <c r="L39">
        <v>2952.29</v>
      </c>
      <c r="M39">
        <v>10</v>
      </c>
      <c r="N39">
        <v>5173.95</v>
      </c>
      <c r="O39">
        <v>17</v>
      </c>
      <c r="P39">
        <v>8126.24</v>
      </c>
      <c r="Q39">
        <v>0</v>
      </c>
      <c r="R39">
        <v>0</v>
      </c>
      <c r="S39">
        <v>58</v>
      </c>
      <c r="T39">
        <v>81</v>
      </c>
      <c r="U39">
        <v>139</v>
      </c>
      <c r="V39">
        <v>4.4400000000000004</v>
      </c>
      <c r="W39">
        <v>3.75</v>
      </c>
      <c r="X39">
        <v>36.270000000000003</v>
      </c>
      <c r="Y39">
        <v>13.18</v>
      </c>
    </row>
    <row r="40" spans="1:25" customFormat="1" ht="14.4" x14ac:dyDescent="0.25">
      <c r="A40" t="s">
        <v>90</v>
      </c>
      <c r="B40" s="26" t="s">
        <v>64</v>
      </c>
      <c r="C40" t="s">
        <v>65</v>
      </c>
      <c r="D40" t="str">
        <f t="shared" si="0"/>
        <v>N3</v>
      </c>
      <c r="E40">
        <v>11220</v>
      </c>
      <c r="F40">
        <v>353</v>
      </c>
      <c r="G40">
        <v>3.15</v>
      </c>
      <c r="H40">
        <v>1080.9100000000001</v>
      </c>
      <c r="I40">
        <v>96.34</v>
      </c>
      <c r="J40">
        <v>3.06</v>
      </c>
      <c r="K40">
        <v>9</v>
      </c>
      <c r="L40">
        <v>6711.3</v>
      </c>
      <c r="M40">
        <v>13</v>
      </c>
      <c r="N40">
        <v>11388.1</v>
      </c>
      <c r="O40">
        <v>22</v>
      </c>
      <c r="P40">
        <v>18099.400000000001</v>
      </c>
      <c r="Q40">
        <v>0</v>
      </c>
      <c r="R40">
        <v>0</v>
      </c>
      <c r="S40">
        <v>70</v>
      </c>
      <c r="T40">
        <v>65</v>
      </c>
      <c r="U40">
        <v>135</v>
      </c>
      <c r="V40">
        <v>8.01</v>
      </c>
      <c r="W40">
        <v>6.23</v>
      </c>
      <c r="X40">
        <v>49.13</v>
      </c>
      <c r="Y40">
        <v>16.739999999999998</v>
      </c>
    </row>
    <row r="41" spans="1:25" customFormat="1" ht="14.4" x14ac:dyDescent="0.25">
      <c r="A41" t="s">
        <v>90</v>
      </c>
      <c r="B41" s="26" t="s">
        <v>60</v>
      </c>
      <c r="C41" t="s">
        <v>61</v>
      </c>
      <c r="D41" t="str">
        <f t="shared" si="0"/>
        <v>N1</v>
      </c>
      <c r="E41">
        <v>9556</v>
      </c>
      <c r="F41">
        <v>333</v>
      </c>
      <c r="G41">
        <v>3.48</v>
      </c>
      <c r="H41">
        <v>516.58000000000004</v>
      </c>
      <c r="I41">
        <v>54.06</v>
      </c>
      <c r="J41">
        <v>1.55</v>
      </c>
      <c r="K41">
        <v>2</v>
      </c>
      <c r="L41">
        <v>821.33</v>
      </c>
      <c r="M41">
        <v>2</v>
      </c>
      <c r="N41">
        <v>1272.33</v>
      </c>
      <c r="O41">
        <v>4</v>
      </c>
      <c r="P41">
        <v>2093.66</v>
      </c>
      <c r="Q41">
        <v>0</v>
      </c>
      <c r="R41">
        <v>0</v>
      </c>
      <c r="S41">
        <v>32</v>
      </c>
      <c r="T41">
        <v>47</v>
      </c>
      <c r="U41">
        <v>79</v>
      </c>
      <c r="V41">
        <v>6.54</v>
      </c>
      <c r="W41">
        <v>1.2</v>
      </c>
      <c r="X41">
        <v>129.15</v>
      </c>
      <c r="Y41">
        <v>4.05</v>
      </c>
    </row>
    <row r="42" spans="1:25" customFormat="1" ht="14.4" x14ac:dyDescent="0.25">
      <c r="A42" t="s">
        <v>90</v>
      </c>
      <c r="B42" s="26" t="s">
        <v>55</v>
      </c>
      <c r="C42" t="s">
        <v>56</v>
      </c>
      <c r="D42" t="str">
        <f t="shared" si="0"/>
        <v>N3</v>
      </c>
      <c r="E42">
        <v>8968</v>
      </c>
      <c r="F42">
        <v>266</v>
      </c>
      <c r="G42">
        <v>2.97</v>
      </c>
      <c r="H42">
        <v>620.21</v>
      </c>
      <c r="I42">
        <v>69.16</v>
      </c>
      <c r="J42">
        <v>2.33</v>
      </c>
      <c r="K42">
        <v>5</v>
      </c>
      <c r="L42">
        <v>3272.5</v>
      </c>
      <c r="M42">
        <v>3</v>
      </c>
      <c r="N42">
        <v>2333.4</v>
      </c>
      <c r="O42">
        <v>8</v>
      </c>
      <c r="P42">
        <v>5605.9</v>
      </c>
      <c r="Q42">
        <v>0</v>
      </c>
      <c r="R42">
        <v>0</v>
      </c>
      <c r="S42">
        <v>50</v>
      </c>
      <c r="T42">
        <v>35</v>
      </c>
      <c r="U42">
        <v>85</v>
      </c>
      <c r="V42">
        <v>7.3</v>
      </c>
      <c r="W42">
        <v>3.01</v>
      </c>
      <c r="X42">
        <v>77.53</v>
      </c>
      <c r="Y42">
        <v>9.0399999999999991</v>
      </c>
    </row>
    <row r="43" spans="1:25" customFormat="1" ht="14.4" x14ac:dyDescent="0.25">
      <c r="A43" t="s">
        <v>90</v>
      </c>
      <c r="B43" s="26" t="s">
        <v>66</v>
      </c>
      <c r="C43" t="s">
        <v>67</v>
      </c>
      <c r="D43" t="str">
        <f t="shared" si="0"/>
        <v>N1</v>
      </c>
      <c r="E43">
        <v>5907</v>
      </c>
      <c r="F43">
        <v>167</v>
      </c>
      <c r="G43">
        <v>2.83</v>
      </c>
      <c r="H43">
        <v>172.33</v>
      </c>
      <c r="I43">
        <v>29.17</v>
      </c>
      <c r="J43">
        <v>1.03</v>
      </c>
      <c r="K43">
        <v>0</v>
      </c>
      <c r="L43">
        <v>0</v>
      </c>
      <c r="M43">
        <v>4</v>
      </c>
      <c r="N43">
        <v>3294.43</v>
      </c>
      <c r="O43">
        <v>4</v>
      </c>
      <c r="P43">
        <v>3294.43</v>
      </c>
      <c r="Q43">
        <v>0</v>
      </c>
      <c r="R43">
        <v>0</v>
      </c>
      <c r="S43">
        <v>16</v>
      </c>
      <c r="T43">
        <v>32</v>
      </c>
      <c r="U43">
        <v>48</v>
      </c>
      <c r="V43">
        <v>3.59</v>
      </c>
      <c r="W43">
        <v>2.4</v>
      </c>
      <c r="X43">
        <v>43.08</v>
      </c>
      <c r="Y43">
        <v>19.12</v>
      </c>
    </row>
    <row r="44" spans="1:25" customFormat="1" ht="14.4" x14ac:dyDescent="0.25">
      <c r="A44" t="s">
        <v>91</v>
      </c>
      <c r="B44" s="26" t="s">
        <v>50</v>
      </c>
      <c r="C44" t="s">
        <v>51</v>
      </c>
      <c r="D44" t="str">
        <f t="shared" si="0"/>
        <v>S1</v>
      </c>
      <c r="E44">
        <v>484463</v>
      </c>
      <c r="F44">
        <v>15723</v>
      </c>
      <c r="G44">
        <v>3.25</v>
      </c>
      <c r="H44">
        <v>34589.85</v>
      </c>
      <c r="I44">
        <v>71.400000000000006</v>
      </c>
      <c r="J44">
        <v>2.2000000000000002</v>
      </c>
      <c r="K44">
        <v>85</v>
      </c>
      <c r="L44">
        <v>128462.5</v>
      </c>
      <c r="M44">
        <v>74</v>
      </c>
      <c r="N44">
        <v>61599.8</v>
      </c>
      <c r="O44">
        <v>159</v>
      </c>
      <c r="P44">
        <v>190062.3</v>
      </c>
      <c r="Q44">
        <v>0</v>
      </c>
      <c r="R44">
        <v>0</v>
      </c>
      <c r="S44">
        <v>1289</v>
      </c>
      <c r="T44">
        <v>801</v>
      </c>
      <c r="U44">
        <v>2090</v>
      </c>
      <c r="V44">
        <v>16.55</v>
      </c>
      <c r="W44">
        <v>1.01</v>
      </c>
      <c r="X44">
        <v>217.55</v>
      </c>
      <c r="Y44">
        <v>5.49</v>
      </c>
    </row>
    <row r="45" spans="1:25" customFormat="1" ht="14.4" x14ac:dyDescent="0.25">
      <c r="A45" t="s">
        <v>91</v>
      </c>
      <c r="B45" s="26" t="s">
        <v>48</v>
      </c>
      <c r="C45" t="s">
        <v>49</v>
      </c>
      <c r="D45" t="str">
        <f t="shared" si="0"/>
        <v>N2</v>
      </c>
      <c r="E45">
        <v>147967</v>
      </c>
      <c r="F45">
        <v>12574</v>
      </c>
      <c r="G45">
        <v>8.5</v>
      </c>
      <c r="H45">
        <v>32380.21</v>
      </c>
      <c r="I45">
        <v>218.83</v>
      </c>
      <c r="J45">
        <v>2.58</v>
      </c>
      <c r="K45">
        <v>368</v>
      </c>
      <c r="L45">
        <v>264777.8</v>
      </c>
      <c r="M45">
        <v>79</v>
      </c>
      <c r="N45">
        <v>62272.1</v>
      </c>
      <c r="O45">
        <v>447</v>
      </c>
      <c r="P45">
        <v>327049.90000000002</v>
      </c>
      <c r="Q45">
        <v>0</v>
      </c>
      <c r="R45">
        <v>0</v>
      </c>
      <c r="S45">
        <v>3045</v>
      </c>
      <c r="T45">
        <v>979</v>
      </c>
      <c r="U45">
        <v>4024</v>
      </c>
      <c r="V45">
        <v>8.0500000000000007</v>
      </c>
      <c r="W45">
        <v>3.55</v>
      </c>
      <c r="X45">
        <v>72.44</v>
      </c>
      <c r="Y45">
        <v>10.1</v>
      </c>
    </row>
    <row r="46" spans="1:25" customFormat="1" ht="14.4" x14ac:dyDescent="0.25">
      <c r="A46" t="s">
        <v>91</v>
      </c>
      <c r="B46" s="26" t="s">
        <v>52</v>
      </c>
      <c r="C46" t="s">
        <v>53</v>
      </c>
      <c r="D46" t="str">
        <f t="shared" si="0"/>
        <v>N2</v>
      </c>
      <c r="E46">
        <v>50792</v>
      </c>
      <c r="F46">
        <v>3538</v>
      </c>
      <c r="G46">
        <v>6.97</v>
      </c>
      <c r="H46">
        <v>12207.87</v>
      </c>
      <c r="I46">
        <v>240.35</v>
      </c>
      <c r="J46">
        <v>3.45</v>
      </c>
      <c r="K46">
        <v>87</v>
      </c>
      <c r="L46">
        <v>76404.399999999994</v>
      </c>
      <c r="M46">
        <v>53</v>
      </c>
      <c r="N46">
        <v>39685.5</v>
      </c>
      <c r="O46">
        <v>140</v>
      </c>
      <c r="P46">
        <v>116089.9</v>
      </c>
      <c r="Q46">
        <v>0</v>
      </c>
      <c r="R46">
        <v>0</v>
      </c>
      <c r="S46">
        <v>847</v>
      </c>
      <c r="T46">
        <v>439</v>
      </c>
      <c r="U46">
        <v>1286</v>
      </c>
      <c r="V46">
        <v>9.49</v>
      </c>
      <c r="W46">
        <v>3.96</v>
      </c>
      <c r="X46">
        <v>87.2</v>
      </c>
      <c r="Y46">
        <v>9.51</v>
      </c>
    </row>
    <row r="47" spans="1:25" customFormat="1" ht="14.4" x14ac:dyDescent="0.25">
      <c r="A47" t="s">
        <v>91</v>
      </c>
      <c r="B47" s="26" t="s">
        <v>58</v>
      </c>
      <c r="C47" t="s">
        <v>59</v>
      </c>
      <c r="D47" t="str">
        <f t="shared" si="0"/>
        <v>N3</v>
      </c>
      <c r="E47">
        <v>25716</v>
      </c>
      <c r="F47">
        <v>1207</v>
      </c>
      <c r="G47">
        <v>4.6900000000000004</v>
      </c>
      <c r="H47">
        <v>1920.52</v>
      </c>
      <c r="I47">
        <v>74.680000000000007</v>
      </c>
      <c r="J47">
        <v>1.59</v>
      </c>
      <c r="K47">
        <v>5</v>
      </c>
      <c r="L47">
        <v>3326.7</v>
      </c>
      <c r="M47">
        <v>28</v>
      </c>
      <c r="N47">
        <v>19522</v>
      </c>
      <c r="O47">
        <v>33</v>
      </c>
      <c r="P47">
        <v>22848.7</v>
      </c>
      <c r="Q47">
        <v>0</v>
      </c>
      <c r="R47">
        <v>0</v>
      </c>
      <c r="S47">
        <v>119</v>
      </c>
      <c r="T47">
        <v>295</v>
      </c>
      <c r="U47">
        <v>414</v>
      </c>
      <c r="V47">
        <v>4.6399999999999997</v>
      </c>
      <c r="W47">
        <v>2.73</v>
      </c>
      <c r="X47">
        <v>58.2</v>
      </c>
      <c r="Y47">
        <v>11.9</v>
      </c>
    </row>
    <row r="48" spans="1:25" customFormat="1" ht="14.4" x14ac:dyDescent="0.25">
      <c r="A48" t="s">
        <v>91</v>
      </c>
      <c r="B48" s="26" t="s">
        <v>60</v>
      </c>
      <c r="C48" t="s">
        <v>61</v>
      </c>
      <c r="D48" t="str">
        <f t="shared" si="0"/>
        <v>N1</v>
      </c>
      <c r="E48">
        <v>22310</v>
      </c>
      <c r="F48">
        <v>1452</v>
      </c>
      <c r="G48">
        <v>6.51</v>
      </c>
      <c r="H48">
        <v>591.07000000000005</v>
      </c>
      <c r="I48">
        <v>26.49</v>
      </c>
      <c r="J48">
        <v>0.41</v>
      </c>
      <c r="K48">
        <v>1</v>
      </c>
      <c r="L48">
        <v>401.33</v>
      </c>
      <c r="M48">
        <v>4</v>
      </c>
      <c r="N48">
        <v>1483.5</v>
      </c>
      <c r="O48">
        <v>5</v>
      </c>
      <c r="P48">
        <v>1884.83</v>
      </c>
      <c r="Q48">
        <v>0</v>
      </c>
      <c r="R48">
        <v>0</v>
      </c>
      <c r="S48">
        <v>43</v>
      </c>
      <c r="T48">
        <v>54</v>
      </c>
      <c r="U48">
        <v>97</v>
      </c>
      <c r="V48">
        <v>6.09</v>
      </c>
      <c r="W48">
        <v>0.34</v>
      </c>
      <c r="X48">
        <v>118.21</v>
      </c>
      <c r="Y48">
        <v>3.19</v>
      </c>
    </row>
    <row r="49" spans="1:25" customFormat="1" ht="14.4" x14ac:dyDescent="0.25">
      <c r="A49" t="s">
        <v>91</v>
      </c>
      <c r="B49" s="26" t="s">
        <v>64</v>
      </c>
      <c r="C49" t="s">
        <v>65</v>
      </c>
      <c r="D49" t="str">
        <f t="shared" si="0"/>
        <v>N3</v>
      </c>
      <c r="E49">
        <v>18859</v>
      </c>
      <c r="F49">
        <v>614</v>
      </c>
      <c r="G49">
        <v>3.26</v>
      </c>
      <c r="H49">
        <v>1174.07</v>
      </c>
      <c r="I49">
        <v>62.26</v>
      </c>
      <c r="J49">
        <v>1.91</v>
      </c>
      <c r="K49">
        <v>6</v>
      </c>
      <c r="L49">
        <v>4618.7</v>
      </c>
      <c r="M49">
        <v>13</v>
      </c>
      <c r="N49">
        <v>10523.7</v>
      </c>
      <c r="O49">
        <v>19</v>
      </c>
      <c r="P49">
        <v>15142.4</v>
      </c>
      <c r="Q49">
        <v>0</v>
      </c>
      <c r="R49">
        <v>0</v>
      </c>
      <c r="S49">
        <v>79</v>
      </c>
      <c r="T49">
        <v>128</v>
      </c>
      <c r="U49">
        <v>207</v>
      </c>
      <c r="V49">
        <v>5.67</v>
      </c>
      <c r="W49">
        <v>3.09</v>
      </c>
      <c r="X49">
        <v>61.79</v>
      </c>
      <c r="Y49">
        <v>12.9</v>
      </c>
    </row>
    <row r="50" spans="1:25" customFormat="1" ht="14.4" x14ac:dyDescent="0.25">
      <c r="A50" t="s">
        <v>91</v>
      </c>
      <c r="B50" s="26" t="s">
        <v>62</v>
      </c>
      <c r="C50" t="s">
        <v>63</v>
      </c>
      <c r="D50" t="str">
        <f t="shared" si="0"/>
        <v>N1</v>
      </c>
      <c r="E50">
        <v>18476</v>
      </c>
      <c r="F50">
        <v>806</v>
      </c>
      <c r="G50">
        <v>4.3600000000000003</v>
      </c>
      <c r="H50">
        <v>799.36</v>
      </c>
      <c r="I50">
        <v>43.26</v>
      </c>
      <c r="J50">
        <v>0.99</v>
      </c>
      <c r="K50">
        <v>10</v>
      </c>
      <c r="L50">
        <v>4181.91</v>
      </c>
      <c r="M50">
        <v>10</v>
      </c>
      <c r="N50">
        <v>8086.69</v>
      </c>
      <c r="O50">
        <v>20</v>
      </c>
      <c r="P50">
        <v>12268.6</v>
      </c>
      <c r="Q50">
        <v>0</v>
      </c>
      <c r="R50">
        <v>0</v>
      </c>
      <c r="S50">
        <v>83</v>
      </c>
      <c r="T50">
        <v>153</v>
      </c>
      <c r="U50">
        <v>236</v>
      </c>
      <c r="V50">
        <v>3.39</v>
      </c>
      <c r="W50">
        <v>2.48</v>
      </c>
      <c r="X50">
        <v>39.97</v>
      </c>
      <c r="Y50">
        <v>15.35</v>
      </c>
    </row>
    <row r="51" spans="1:25" customFormat="1" ht="14.4" x14ac:dyDescent="0.25">
      <c r="A51" t="s">
        <v>91</v>
      </c>
      <c r="B51" s="26" t="s">
        <v>66</v>
      </c>
      <c r="C51" t="s">
        <v>67</v>
      </c>
      <c r="D51" t="str">
        <f t="shared" si="0"/>
        <v>N1</v>
      </c>
      <c r="E51">
        <v>15300</v>
      </c>
      <c r="F51">
        <v>484</v>
      </c>
      <c r="G51">
        <v>3.16</v>
      </c>
      <c r="H51">
        <v>410.96</v>
      </c>
      <c r="I51">
        <v>26.86</v>
      </c>
      <c r="J51">
        <v>0.85</v>
      </c>
      <c r="K51">
        <v>3</v>
      </c>
      <c r="L51">
        <v>1301.33</v>
      </c>
      <c r="M51">
        <v>7</v>
      </c>
      <c r="N51">
        <v>3942.28</v>
      </c>
      <c r="O51">
        <v>10</v>
      </c>
      <c r="P51">
        <v>5243.61</v>
      </c>
      <c r="Q51">
        <v>0</v>
      </c>
      <c r="R51">
        <v>0</v>
      </c>
      <c r="S51">
        <v>32</v>
      </c>
      <c r="T51">
        <v>51</v>
      </c>
      <c r="U51">
        <v>83</v>
      </c>
      <c r="V51">
        <v>4.95</v>
      </c>
      <c r="W51">
        <v>2.0699999999999998</v>
      </c>
      <c r="X51">
        <v>41.1</v>
      </c>
      <c r="Y51">
        <v>12.76</v>
      </c>
    </row>
    <row r="52" spans="1:25" customFormat="1" ht="14.4" x14ac:dyDescent="0.25">
      <c r="A52" t="s">
        <v>91</v>
      </c>
      <c r="B52" s="26" t="s">
        <v>55</v>
      </c>
      <c r="C52" t="s">
        <v>56</v>
      </c>
      <c r="D52" t="str">
        <f t="shared" si="0"/>
        <v>N3</v>
      </c>
      <c r="E52">
        <v>10188</v>
      </c>
      <c r="F52">
        <v>294</v>
      </c>
      <c r="G52">
        <v>2.89</v>
      </c>
      <c r="H52">
        <v>476.27</v>
      </c>
      <c r="I52">
        <v>46.75</v>
      </c>
      <c r="J52">
        <v>1.62</v>
      </c>
      <c r="K52">
        <v>5</v>
      </c>
      <c r="L52">
        <v>3325.1</v>
      </c>
      <c r="M52">
        <v>2</v>
      </c>
      <c r="N52">
        <v>1587.3</v>
      </c>
      <c r="O52">
        <v>7</v>
      </c>
      <c r="P52">
        <v>4912.3999999999996</v>
      </c>
      <c r="Q52">
        <v>0</v>
      </c>
      <c r="R52">
        <v>0</v>
      </c>
      <c r="S52">
        <v>47</v>
      </c>
      <c r="T52">
        <v>20</v>
      </c>
      <c r="U52">
        <v>67</v>
      </c>
      <c r="V52">
        <v>7.11</v>
      </c>
      <c r="W52">
        <v>2.38</v>
      </c>
      <c r="X52">
        <v>68.040000000000006</v>
      </c>
      <c r="Y52">
        <v>10.31</v>
      </c>
    </row>
    <row r="53" spans="1:25" customFormat="1" ht="14.4" x14ac:dyDescent="0.25">
      <c r="A53" t="s">
        <v>91</v>
      </c>
      <c r="B53" s="26" t="s">
        <v>71</v>
      </c>
      <c r="C53" t="s">
        <v>72</v>
      </c>
      <c r="D53" t="str">
        <f t="shared" si="0"/>
        <v>N3</v>
      </c>
      <c r="E53">
        <v>6677</v>
      </c>
      <c r="F53">
        <v>213</v>
      </c>
      <c r="G53">
        <v>3.19</v>
      </c>
      <c r="H53">
        <v>416.88</v>
      </c>
      <c r="I53">
        <v>62.44</v>
      </c>
      <c r="J53">
        <v>1.96</v>
      </c>
      <c r="K53">
        <v>2</v>
      </c>
      <c r="L53">
        <v>1531.4</v>
      </c>
      <c r="M53">
        <v>8</v>
      </c>
      <c r="N53">
        <v>7395.6</v>
      </c>
      <c r="O53">
        <v>10</v>
      </c>
      <c r="P53">
        <v>8927</v>
      </c>
      <c r="Q53">
        <v>0</v>
      </c>
      <c r="R53">
        <v>0</v>
      </c>
      <c r="S53">
        <v>21</v>
      </c>
      <c r="T53">
        <v>42</v>
      </c>
      <c r="U53">
        <v>63</v>
      </c>
      <c r="V53">
        <v>6.62</v>
      </c>
      <c r="W53">
        <v>4.6900000000000004</v>
      </c>
      <c r="X53">
        <v>41.69</v>
      </c>
      <c r="Y53">
        <v>21.41</v>
      </c>
    </row>
    <row r="54" spans="1:25" customFormat="1" ht="14.4" x14ac:dyDescent="0.25">
      <c r="A54" t="s">
        <v>91</v>
      </c>
      <c r="B54" s="26" t="s">
        <v>69</v>
      </c>
      <c r="C54" t="s">
        <v>70</v>
      </c>
      <c r="D54" t="str">
        <f t="shared" si="0"/>
        <v>N3</v>
      </c>
      <c r="E54">
        <v>5564</v>
      </c>
      <c r="F54">
        <v>161</v>
      </c>
      <c r="G54">
        <v>2.89</v>
      </c>
      <c r="H54">
        <v>310.42</v>
      </c>
      <c r="I54">
        <v>55.79</v>
      </c>
      <c r="J54">
        <v>1.93</v>
      </c>
      <c r="K54">
        <v>2</v>
      </c>
      <c r="L54">
        <v>1598</v>
      </c>
      <c r="M54">
        <v>3</v>
      </c>
      <c r="N54">
        <v>2526</v>
      </c>
      <c r="O54">
        <v>5</v>
      </c>
      <c r="P54">
        <v>4124</v>
      </c>
      <c r="Q54">
        <v>0</v>
      </c>
      <c r="R54">
        <v>0</v>
      </c>
      <c r="S54">
        <v>18</v>
      </c>
      <c r="T54">
        <v>25</v>
      </c>
      <c r="U54">
        <v>43</v>
      </c>
      <c r="V54">
        <v>7.22</v>
      </c>
      <c r="W54">
        <v>3.11</v>
      </c>
      <c r="X54">
        <v>62.08</v>
      </c>
      <c r="Y54">
        <v>13.29</v>
      </c>
    </row>
    <row r="55" spans="1:25" customFormat="1" ht="14.4" x14ac:dyDescent="0.25">
      <c r="A55" t="s">
        <v>92</v>
      </c>
      <c r="B55" s="26" t="s">
        <v>50</v>
      </c>
      <c r="C55" t="s">
        <v>51</v>
      </c>
      <c r="D55" t="str">
        <f t="shared" si="0"/>
        <v>S1</v>
      </c>
      <c r="E55">
        <v>301075</v>
      </c>
      <c r="F55">
        <v>10230</v>
      </c>
      <c r="G55">
        <v>3.4</v>
      </c>
      <c r="H55">
        <v>22545.75</v>
      </c>
      <c r="I55">
        <v>74.88</v>
      </c>
      <c r="J55">
        <v>2.2000000000000002</v>
      </c>
      <c r="K55">
        <v>78</v>
      </c>
      <c r="L55">
        <v>127056.35</v>
      </c>
      <c r="M55">
        <v>34</v>
      </c>
      <c r="N55">
        <v>28201.8</v>
      </c>
      <c r="O55">
        <v>112</v>
      </c>
      <c r="P55">
        <v>155258.15</v>
      </c>
      <c r="Q55">
        <v>0</v>
      </c>
      <c r="R55">
        <v>0</v>
      </c>
      <c r="S55">
        <v>1034</v>
      </c>
      <c r="T55">
        <v>534</v>
      </c>
      <c r="U55">
        <v>1568</v>
      </c>
      <c r="V55">
        <v>14.38</v>
      </c>
      <c r="W55">
        <v>1.0900000000000001</v>
      </c>
      <c r="X55">
        <v>201.3</v>
      </c>
      <c r="Y55">
        <v>6.89</v>
      </c>
    </row>
    <row r="56" spans="1:25" customFormat="1" ht="14.4" x14ac:dyDescent="0.25">
      <c r="A56" t="s">
        <v>92</v>
      </c>
      <c r="B56" s="26" t="s">
        <v>48</v>
      </c>
      <c r="C56" t="s">
        <v>49</v>
      </c>
      <c r="D56" t="str">
        <f t="shared" si="0"/>
        <v>N2</v>
      </c>
      <c r="E56">
        <v>129329</v>
      </c>
      <c r="F56">
        <v>7452</v>
      </c>
      <c r="G56">
        <v>5.76</v>
      </c>
      <c r="H56">
        <v>16092.09</v>
      </c>
      <c r="I56">
        <v>124.43</v>
      </c>
      <c r="J56">
        <v>2.16</v>
      </c>
      <c r="K56">
        <v>168</v>
      </c>
      <c r="L56">
        <v>124703.32</v>
      </c>
      <c r="M56">
        <v>33</v>
      </c>
      <c r="N56">
        <v>27218.3</v>
      </c>
      <c r="O56">
        <v>201</v>
      </c>
      <c r="P56">
        <v>151921.62</v>
      </c>
      <c r="Q56">
        <v>0</v>
      </c>
      <c r="R56">
        <v>0</v>
      </c>
      <c r="S56">
        <v>1447</v>
      </c>
      <c r="T56">
        <v>615</v>
      </c>
      <c r="U56">
        <v>2062</v>
      </c>
      <c r="V56">
        <v>7.8</v>
      </c>
      <c r="W56">
        <v>2.7</v>
      </c>
      <c r="X56">
        <v>80.06</v>
      </c>
      <c r="Y56">
        <v>9.44</v>
      </c>
    </row>
    <row r="57" spans="1:25" customFormat="1" ht="14.4" x14ac:dyDescent="0.25">
      <c r="A57" t="s">
        <v>92</v>
      </c>
      <c r="B57" s="26" t="s">
        <v>52</v>
      </c>
      <c r="C57" t="s">
        <v>53</v>
      </c>
      <c r="D57" t="str">
        <f t="shared" si="0"/>
        <v>N2</v>
      </c>
      <c r="E57">
        <v>59021</v>
      </c>
      <c r="F57">
        <v>3212</v>
      </c>
      <c r="G57">
        <v>5.44</v>
      </c>
      <c r="H57">
        <v>7922.04</v>
      </c>
      <c r="I57">
        <v>134.22</v>
      </c>
      <c r="J57">
        <v>2.4700000000000002</v>
      </c>
      <c r="K57">
        <v>58</v>
      </c>
      <c r="L57">
        <v>51955.14</v>
      </c>
      <c r="M57">
        <v>30</v>
      </c>
      <c r="N57">
        <v>25073.67</v>
      </c>
      <c r="O57">
        <v>88</v>
      </c>
      <c r="P57">
        <v>77028.81</v>
      </c>
      <c r="Q57">
        <v>0</v>
      </c>
      <c r="R57">
        <v>0</v>
      </c>
      <c r="S57">
        <v>425</v>
      </c>
      <c r="T57">
        <v>357</v>
      </c>
      <c r="U57">
        <v>782</v>
      </c>
      <c r="V57">
        <v>10.130000000000001</v>
      </c>
      <c r="W57">
        <v>2.74</v>
      </c>
      <c r="X57">
        <v>90.02</v>
      </c>
      <c r="Y57">
        <v>9.7200000000000006</v>
      </c>
    </row>
    <row r="58" spans="1:25" customFormat="1" ht="14.4" x14ac:dyDescent="0.25">
      <c r="A58" t="s">
        <v>92</v>
      </c>
      <c r="B58" s="26" t="s">
        <v>60</v>
      </c>
      <c r="C58" t="s">
        <v>61</v>
      </c>
      <c r="D58" t="str">
        <f t="shared" si="0"/>
        <v>N1</v>
      </c>
      <c r="E58">
        <v>19229</v>
      </c>
      <c r="F58">
        <v>1004</v>
      </c>
      <c r="G58">
        <v>5.22</v>
      </c>
      <c r="H58">
        <v>366.3</v>
      </c>
      <c r="I58">
        <v>19.05</v>
      </c>
      <c r="J58">
        <v>0.36</v>
      </c>
      <c r="K58">
        <v>4</v>
      </c>
      <c r="L58">
        <v>1779.96</v>
      </c>
      <c r="M58">
        <v>2</v>
      </c>
      <c r="N58">
        <v>876.96</v>
      </c>
      <c r="O58">
        <v>6</v>
      </c>
      <c r="P58">
        <v>2656.92</v>
      </c>
      <c r="Q58">
        <v>0</v>
      </c>
      <c r="R58">
        <v>0</v>
      </c>
      <c r="S58">
        <v>40</v>
      </c>
      <c r="T58">
        <v>23</v>
      </c>
      <c r="U58">
        <v>63</v>
      </c>
      <c r="V58">
        <v>5.81</v>
      </c>
      <c r="W58">
        <v>0.6</v>
      </c>
      <c r="X58">
        <v>61.05</v>
      </c>
      <c r="Y58">
        <v>7.25</v>
      </c>
    </row>
    <row r="59" spans="1:25" customFormat="1" ht="14.4" x14ac:dyDescent="0.25">
      <c r="A59" t="s">
        <v>92</v>
      </c>
      <c r="B59" s="26" t="s">
        <v>58</v>
      </c>
      <c r="C59" t="s">
        <v>59</v>
      </c>
      <c r="D59" t="str">
        <f t="shared" si="0"/>
        <v>N3</v>
      </c>
      <c r="E59">
        <v>16696</v>
      </c>
      <c r="F59">
        <v>766</v>
      </c>
      <c r="G59">
        <v>4.59</v>
      </c>
      <c r="H59">
        <v>1076.96</v>
      </c>
      <c r="I59">
        <v>64.5</v>
      </c>
      <c r="J59">
        <v>1.41</v>
      </c>
      <c r="K59">
        <v>3</v>
      </c>
      <c r="L59">
        <v>1954.7</v>
      </c>
      <c r="M59">
        <v>10</v>
      </c>
      <c r="N59">
        <v>7284</v>
      </c>
      <c r="O59">
        <v>13</v>
      </c>
      <c r="P59">
        <v>9238.7000000000007</v>
      </c>
      <c r="Q59">
        <v>0</v>
      </c>
      <c r="R59">
        <v>0</v>
      </c>
      <c r="S59">
        <v>72</v>
      </c>
      <c r="T59">
        <v>93</v>
      </c>
      <c r="U59">
        <v>165</v>
      </c>
      <c r="V59">
        <v>6.53</v>
      </c>
      <c r="W59">
        <v>1.7</v>
      </c>
      <c r="X59">
        <v>82.84</v>
      </c>
      <c r="Y59">
        <v>8.58</v>
      </c>
    </row>
    <row r="60" spans="1:25" customFormat="1" ht="14.4" x14ac:dyDescent="0.25">
      <c r="A60" t="s">
        <v>92</v>
      </c>
      <c r="B60" s="26" t="s">
        <v>64</v>
      </c>
      <c r="C60" t="s">
        <v>65</v>
      </c>
      <c r="D60" t="str">
        <f t="shared" si="0"/>
        <v>N3</v>
      </c>
      <c r="E60">
        <v>13730</v>
      </c>
      <c r="F60">
        <v>591</v>
      </c>
      <c r="G60">
        <v>4.3</v>
      </c>
      <c r="H60">
        <v>999.01</v>
      </c>
      <c r="I60">
        <v>72.760000000000005</v>
      </c>
      <c r="J60">
        <v>1.69</v>
      </c>
      <c r="K60">
        <v>6</v>
      </c>
      <c r="L60">
        <v>4540.6000000000004</v>
      </c>
      <c r="M60">
        <v>7</v>
      </c>
      <c r="N60">
        <v>5630.21</v>
      </c>
      <c r="O60">
        <v>13</v>
      </c>
      <c r="P60">
        <v>10170.81</v>
      </c>
      <c r="Q60">
        <v>0</v>
      </c>
      <c r="R60">
        <v>0</v>
      </c>
      <c r="S60">
        <v>68</v>
      </c>
      <c r="T60">
        <v>86</v>
      </c>
      <c r="U60">
        <v>154</v>
      </c>
      <c r="V60">
        <v>6.49</v>
      </c>
      <c r="W60">
        <v>2.2000000000000002</v>
      </c>
      <c r="X60">
        <v>76.849999999999994</v>
      </c>
      <c r="Y60">
        <v>10.18</v>
      </c>
    </row>
    <row r="61" spans="1:25" customFormat="1" ht="14.4" x14ac:dyDescent="0.25">
      <c r="A61" t="s">
        <v>92</v>
      </c>
      <c r="B61" s="26" t="s">
        <v>71</v>
      </c>
      <c r="C61" t="s">
        <v>72</v>
      </c>
      <c r="D61" t="str">
        <f t="shared" si="0"/>
        <v>N3</v>
      </c>
      <c r="E61">
        <v>11951</v>
      </c>
      <c r="F61">
        <v>127</v>
      </c>
      <c r="G61">
        <v>1.06</v>
      </c>
      <c r="H61">
        <v>168.37</v>
      </c>
      <c r="I61">
        <v>14.09</v>
      </c>
      <c r="J61">
        <v>1.33</v>
      </c>
      <c r="K61">
        <v>1</v>
      </c>
      <c r="L61">
        <v>767.3</v>
      </c>
      <c r="M61">
        <v>1</v>
      </c>
      <c r="N61">
        <v>904.2</v>
      </c>
      <c r="O61">
        <v>2</v>
      </c>
      <c r="P61">
        <v>1671.5</v>
      </c>
      <c r="Q61">
        <v>0</v>
      </c>
      <c r="R61">
        <v>0</v>
      </c>
      <c r="S61">
        <v>8</v>
      </c>
      <c r="T61">
        <v>9</v>
      </c>
      <c r="U61">
        <v>17</v>
      </c>
      <c r="V61">
        <v>9.9</v>
      </c>
      <c r="W61">
        <v>1.57</v>
      </c>
      <c r="X61">
        <v>84.19</v>
      </c>
      <c r="Y61">
        <v>9.93</v>
      </c>
    </row>
    <row r="62" spans="1:25" customFormat="1" ht="14.4" x14ac:dyDescent="0.25">
      <c r="A62" t="s">
        <v>92</v>
      </c>
      <c r="B62" s="26" t="s">
        <v>62</v>
      </c>
      <c r="C62" t="s">
        <v>63</v>
      </c>
      <c r="D62" t="str">
        <f t="shared" si="0"/>
        <v>N1</v>
      </c>
      <c r="E62">
        <v>10593</v>
      </c>
      <c r="F62">
        <v>460</v>
      </c>
      <c r="G62">
        <v>4.34</v>
      </c>
      <c r="H62">
        <v>589.77</v>
      </c>
      <c r="I62">
        <v>55.68</v>
      </c>
      <c r="J62">
        <v>1.28</v>
      </c>
      <c r="K62">
        <v>0</v>
      </c>
      <c r="L62">
        <v>0</v>
      </c>
      <c r="M62">
        <v>4</v>
      </c>
      <c r="N62">
        <v>1932.92</v>
      </c>
      <c r="O62">
        <v>4</v>
      </c>
      <c r="P62">
        <v>1932.92</v>
      </c>
      <c r="Q62">
        <v>0</v>
      </c>
      <c r="R62">
        <v>0</v>
      </c>
      <c r="S62">
        <v>42</v>
      </c>
      <c r="T62">
        <v>43</v>
      </c>
      <c r="U62">
        <v>85</v>
      </c>
      <c r="V62">
        <v>6.94</v>
      </c>
      <c r="W62">
        <v>0.87</v>
      </c>
      <c r="X62">
        <v>147.44</v>
      </c>
      <c r="Y62">
        <v>3.28</v>
      </c>
    </row>
    <row r="63" spans="1:25" customFormat="1" ht="14.4" x14ac:dyDescent="0.25">
      <c r="A63" t="s">
        <v>92</v>
      </c>
      <c r="B63" s="26" t="s">
        <v>66</v>
      </c>
      <c r="C63" t="s">
        <v>67</v>
      </c>
      <c r="D63" t="str">
        <f t="shared" si="0"/>
        <v>N1</v>
      </c>
      <c r="E63">
        <v>8218</v>
      </c>
      <c r="F63">
        <v>263</v>
      </c>
      <c r="G63">
        <v>3.2</v>
      </c>
      <c r="H63">
        <v>164.53</v>
      </c>
      <c r="I63">
        <v>20.02</v>
      </c>
      <c r="J63">
        <v>0.63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9</v>
      </c>
      <c r="T63">
        <v>21</v>
      </c>
      <c r="U63">
        <v>30</v>
      </c>
      <c r="V63">
        <v>5.48</v>
      </c>
      <c r="W63">
        <v>0</v>
      </c>
      <c r="X63">
        <v>0</v>
      </c>
      <c r="Y63">
        <v>0</v>
      </c>
    </row>
    <row r="64" spans="1:25" customFormat="1" ht="14.4" x14ac:dyDescent="0.25">
      <c r="A64" t="s">
        <v>92</v>
      </c>
      <c r="B64" s="26" t="s">
        <v>55</v>
      </c>
      <c r="C64" t="s">
        <v>56</v>
      </c>
      <c r="D64" t="str">
        <f t="shared" si="0"/>
        <v>N3</v>
      </c>
      <c r="E64">
        <v>6358</v>
      </c>
      <c r="F64">
        <v>180</v>
      </c>
      <c r="G64">
        <v>2.83</v>
      </c>
      <c r="H64">
        <v>195.93</v>
      </c>
      <c r="I64">
        <v>30.82</v>
      </c>
      <c r="J64">
        <v>1.0900000000000001</v>
      </c>
      <c r="K64">
        <v>1</v>
      </c>
      <c r="L64">
        <v>630.5</v>
      </c>
      <c r="M64">
        <v>1</v>
      </c>
      <c r="N64">
        <v>767.3</v>
      </c>
      <c r="O64">
        <v>2</v>
      </c>
      <c r="P64">
        <v>1397.8</v>
      </c>
      <c r="Q64">
        <v>0</v>
      </c>
      <c r="R64">
        <v>0</v>
      </c>
      <c r="S64">
        <v>54</v>
      </c>
      <c r="T64">
        <v>12</v>
      </c>
      <c r="U64">
        <v>66</v>
      </c>
      <c r="V64">
        <v>2.97</v>
      </c>
      <c r="W64">
        <v>1.1100000000000001</v>
      </c>
      <c r="X64">
        <v>97.97</v>
      </c>
      <c r="Y64">
        <v>7.13</v>
      </c>
    </row>
    <row r="65" spans="1:25" customFormat="1" ht="14.4" x14ac:dyDescent="0.25">
      <c r="A65" t="s">
        <v>92</v>
      </c>
      <c r="B65" s="26" t="s">
        <v>69</v>
      </c>
      <c r="C65" t="s">
        <v>70</v>
      </c>
      <c r="D65" t="str">
        <f t="shared" si="0"/>
        <v>N3</v>
      </c>
      <c r="E65">
        <v>5399</v>
      </c>
      <c r="F65">
        <v>124</v>
      </c>
      <c r="G65">
        <v>2.2999999999999998</v>
      </c>
      <c r="H65">
        <v>172.3</v>
      </c>
      <c r="I65">
        <v>31.91</v>
      </c>
      <c r="J65">
        <v>1.39</v>
      </c>
      <c r="K65">
        <v>4</v>
      </c>
      <c r="L65">
        <v>3196</v>
      </c>
      <c r="M65">
        <v>1</v>
      </c>
      <c r="N65">
        <v>735.7</v>
      </c>
      <c r="O65">
        <v>5</v>
      </c>
      <c r="P65">
        <v>3931.7</v>
      </c>
      <c r="Q65">
        <v>0</v>
      </c>
      <c r="R65">
        <v>0</v>
      </c>
      <c r="S65">
        <v>25</v>
      </c>
      <c r="T65">
        <v>16</v>
      </c>
      <c r="U65">
        <v>41</v>
      </c>
      <c r="V65">
        <v>4.2</v>
      </c>
      <c r="W65">
        <v>4.03</v>
      </c>
      <c r="X65">
        <v>34.46</v>
      </c>
      <c r="Y65">
        <v>22.82</v>
      </c>
    </row>
    <row r="66" spans="1:25" customFormat="1" ht="14.4" x14ac:dyDescent="0.25">
      <c r="A66" t="s">
        <v>92</v>
      </c>
      <c r="B66" s="26" t="s">
        <v>84</v>
      </c>
      <c r="C66" t="s">
        <v>93</v>
      </c>
      <c r="D66" t="str">
        <f t="shared" ref="D66:D123" si="1">VLOOKUP(B66,AD:AF,3,FALSE)</f>
        <v>S1</v>
      </c>
      <c r="E66">
        <v>1066</v>
      </c>
      <c r="F66">
        <v>28</v>
      </c>
      <c r="G66">
        <v>2.63</v>
      </c>
      <c r="H66">
        <v>52.29</v>
      </c>
      <c r="I66">
        <v>49.05</v>
      </c>
      <c r="J66">
        <v>1.87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</v>
      </c>
      <c r="T66">
        <v>0</v>
      </c>
      <c r="U66">
        <v>2</v>
      </c>
      <c r="V66">
        <v>26.15</v>
      </c>
      <c r="W66">
        <v>0</v>
      </c>
      <c r="X66">
        <v>0</v>
      </c>
      <c r="Y66">
        <v>0</v>
      </c>
    </row>
    <row r="67" spans="1:25" customFormat="1" ht="14.4" x14ac:dyDescent="0.25">
      <c r="A67" t="s">
        <v>92</v>
      </c>
      <c r="B67" s="26" t="s">
        <v>75</v>
      </c>
      <c r="C67" t="s">
        <v>76</v>
      </c>
      <c r="D67" t="str">
        <f t="shared" si="1"/>
        <v>N2</v>
      </c>
      <c r="E67">
        <v>816</v>
      </c>
      <c r="F67">
        <v>17</v>
      </c>
      <c r="G67">
        <v>2.08</v>
      </c>
      <c r="H67">
        <v>40.409999999999997</v>
      </c>
      <c r="I67">
        <v>49.52</v>
      </c>
      <c r="J67">
        <v>2.38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2</v>
      </c>
      <c r="V67">
        <v>20.21</v>
      </c>
      <c r="W67">
        <v>0</v>
      </c>
      <c r="X67">
        <v>0</v>
      </c>
      <c r="Y67">
        <v>0</v>
      </c>
    </row>
    <row r="68" spans="1:25" customFormat="1" ht="14.4" x14ac:dyDescent="0.25">
      <c r="A68" t="s">
        <v>92</v>
      </c>
      <c r="B68" s="26" t="s">
        <v>73</v>
      </c>
      <c r="C68" t="s">
        <v>74</v>
      </c>
      <c r="D68" t="str">
        <f t="shared" si="1"/>
        <v>N2</v>
      </c>
      <c r="E68">
        <v>469</v>
      </c>
      <c r="F68">
        <v>11</v>
      </c>
      <c r="G68">
        <v>2.35</v>
      </c>
      <c r="H68">
        <v>24.29</v>
      </c>
      <c r="I68">
        <v>51.79</v>
      </c>
      <c r="J68">
        <v>2.21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</v>
      </c>
      <c r="T68">
        <v>1</v>
      </c>
      <c r="U68">
        <v>3</v>
      </c>
      <c r="V68">
        <v>8.1</v>
      </c>
      <c r="W68">
        <v>0</v>
      </c>
      <c r="X68">
        <v>0</v>
      </c>
      <c r="Y68">
        <v>0</v>
      </c>
    </row>
    <row r="69" spans="1:25" customFormat="1" ht="14.4" x14ac:dyDescent="0.25">
      <c r="A69" t="s">
        <v>92</v>
      </c>
      <c r="B69" s="26" t="s">
        <v>77</v>
      </c>
      <c r="C69" t="s">
        <v>78</v>
      </c>
      <c r="D69" t="str">
        <f t="shared" si="1"/>
        <v>N1</v>
      </c>
      <c r="E69">
        <v>196</v>
      </c>
      <c r="F69">
        <v>4</v>
      </c>
      <c r="G69">
        <v>2.04</v>
      </c>
      <c r="H69">
        <v>11.41</v>
      </c>
      <c r="I69">
        <v>58.21</v>
      </c>
      <c r="J69">
        <v>2.85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1</v>
      </c>
      <c r="V69">
        <v>11.41</v>
      </c>
      <c r="W69">
        <v>0</v>
      </c>
      <c r="X69">
        <v>0</v>
      </c>
      <c r="Y69">
        <v>0</v>
      </c>
    </row>
    <row r="70" spans="1:25" customFormat="1" ht="14.4" x14ac:dyDescent="0.25">
      <c r="A70" t="s">
        <v>92</v>
      </c>
      <c r="B70" s="26" t="s">
        <v>79</v>
      </c>
      <c r="C70" t="s">
        <v>80</v>
      </c>
      <c r="D70" t="str">
        <f t="shared" si="1"/>
        <v>N1</v>
      </c>
      <c r="E70">
        <v>82</v>
      </c>
      <c r="F70">
        <v>1</v>
      </c>
      <c r="G70">
        <v>1.22</v>
      </c>
      <c r="H70">
        <v>1.22</v>
      </c>
      <c r="I70">
        <v>14.88</v>
      </c>
      <c r="J70">
        <v>1.22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customFormat="1" ht="14.4" x14ac:dyDescent="0.25">
      <c r="A71" t="s">
        <v>92</v>
      </c>
      <c r="B71" s="26" t="s">
        <v>82</v>
      </c>
      <c r="C71" t="s">
        <v>83</v>
      </c>
      <c r="D71" t="str">
        <f t="shared" si="1"/>
        <v>N1</v>
      </c>
      <c r="E71">
        <v>77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customFormat="1" ht="14.4" x14ac:dyDescent="0.25">
      <c r="A72" t="s">
        <v>94</v>
      </c>
      <c r="B72" s="26" t="s">
        <v>50</v>
      </c>
      <c r="C72" t="s">
        <v>51</v>
      </c>
      <c r="D72" t="str">
        <f t="shared" si="1"/>
        <v>S1</v>
      </c>
      <c r="E72">
        <v>336613</v>
      </c>
      <c r="F72">
        <v>10807</v>
      </c>
      <c r="G72">
        <v>3.21</v>
      </c>
      <c r="H72">
        <v>28948.05</v>
      </c>
      <c r="I72">
        <v>86</v>
      </c>
      <c r="J72">
        <v>2.68</v>
      </c>
      <c r="K72">
        <v>115</v>
      </c>
      <c r="L72">
        <v>186287.31</v>
      </c>
      <c r="M72">
        <v>51</v>
      </c>
      <c r="N72">
        <v>37142.1</v>
      </c>
      <c r="O72">
        <v>166</v>
      </c>
      <c r="P72">
        <v>223429.41</v>
      </c>
      <c r="Q72">
        <v>0</v>
      </c>
      <c r="R72">
        <v>0</v>
      </c>
      <c r="S72">
        <v>1398</v>
      </c>
      <c r="T72">
        <v>678</v>
      </c>
      <c r="U72">
        <v>2076</v>
      </c>
      <c r="V72">
        <v>13.94</v>
      </c>
      <c r="W72">
        <v>1.54</v>
      </c>
      <c r="X72">
        <v>174.39</v>
      </c>
      <c r="Y72">
        <v>7.72</v>
      </c>
    </row>
    <row r="73" spans="1:25" customFormat="1" ht="14.4" x14ac:dyDescent="0.25">
      <c r="A73" t="s">
        <v>94</v>
      </c>
      <c r="B73" s="26" t="s">
        <v>48</v>
      </c>
      <c r="C73" t="s">
        <v>49</v>
      </c>
      <c r="D73" t="str">
        <f t="shared" si="1"/>
        <v>N2</v>
      </c>
      <c r="E73">
        <v>166788</v>
      </c>
      <c r="F73">
        <v>7300</v>
      </c>
      <c r="G73">
        <v>4.38</v>
      </c>
      <c r="H73">
        <v>17908.580000000002</v>
      </c>
      <c r="I73">
        <v>107.37</v>
      </c>
      <c r="J73">
        <v>2.4500000000000002</v>
      </c>
      <c r="K73">
        <v>176</v>
      </c>
      <c r="L73">
        <v>130033.04</v>
      </c>
      <c r="M73">
        <v>40</v>
      </c>
      <c r="N73">
        <v>33106.43</v>
      </c>
      <c r="O73">
        <v>216</v>
      </c>
      <c r="P73">
        <v>163139.47</v>
      </c>
      <c r="Q73">
        <v>0</v>
      </c>
      <c r="R73">
        <v>0</v>
      </c>
      <c r="S73">
        <v>1474</v>
      </c>
      <c r="T73">
        <v>637</v>
      </c>
      <c r="U73">
        <v>2111</v>
      </c>
      <c r="V73">
        <v>8.48</v>
      </c>
      <c r="W73">
        <v>2.96</v>
      </c>
      <c r="X73">
        <v>82.91</v>
      </c>
      <c r="Y73">
        <v>9.11</v>
      </c>
    </row>
    <row r="74" spans="1:25" customFormat="1" ht="14.4" x14ac:dyDescent="0.25">
      <c r="A74" t="s">
        <v>94</v>
      </c>
      <c r="B74" s="26" t="s">
        <v>52</v>
      </c>
      <c r="C74" t="s">
        <v>53</v>
      </c>
      <c r="D74" t="str">
        <f t="shared" si="1"/>
        <v>N2</v>
      </c>
      <c r="E74">
        <v>79049</v>
      </c>
      <c r="F74">
        <v>3223</v>
      </c>
      <c r="G74">
        <v>4.08</v>
      </c>
      <c r="H74">
        <v>9245.24</v>
      </c>
      <c r="I74">
        <v>116.96</v>
      </c>
      <c r="J74">
        <v>2.87</v>
      </c>
      <c r="K74">
        <v>59</v>
      </c>
      <c r="L74">
        <v>52589.46</v>
      </c>
      <c r="M74">
        <v>26</v>
      </c>
      <c r="N74">
        <v>20255.03</v>
      </c>
      <c r="O74">
        <v>85</v>
      </c>
      <c r="P74">
        <v>72844.490000000005</v>
      </c>
      <c r="Q74">
        <v>0</v>
      </c>
      <c r="R74">
        <v>0</v>
      </c>
      <c r="S74">
        <v>473</v>
      </c>
      <c r="T74">
        <v>361</v>
      </c>
      <c r="U74">
        <v>834</v>
      </c>
      <c r="V74">
        <v>11.09</v>
      </c>
      <c r="W74">
        <v>2.64</v>
      </c>
      <c r="X74">
        <v>108.77</v>
      </c>
      <c r="Y74">
        <v>7.88</v>
      </c>
    </row>
    <row r="75" spans="1:25" customFormat="1" ht="14.4" x14ac:dyDescent="0.25">
      <c r="A75" t="s">
        <v>94</v>
      </c>
      <c r="B75" s="26" t="s">
        <v>84</v>
      </c>
      <c r="C75" t="s">
        <v>93</v>
      </c>
      <c r="D75" t="str">
        <f t="shared" si="1"/>
        <v>S1</v>
      </c>
      <c r="E75">
        <v>27032</v>
      </c>
      <c r="F75">
        <v>656</v>
      </c>
      <c r="G75">
        <v>2.4300000000000002</v>
      </c>
      <c r="H75">
        <v>1529.73</v>
      </c>
      <c r="I75">
        <v>56.59</v>
      </c>
      <c r="J75">
        <v>2.33</v>
      </c>
      <c r="K75">
        <v>0</v>
      </c>
      <c r="L75">
        <v>0</v>
      </c>
      <c r="M75">
        <v>2</v>
      </c>
      <c r="N75">
        <v>2344.29</v>
      </c>
      <c r="O75">
        <v>2</v>
      </c>
      <c r="P75">
        <v>2344.29</v>
      </c>
      <c r="Q75">
        <v>0</v>
      </c>
      <c r="R75">
        <v>0</v>
      </c>
      <c r="S75">
        <v>52</v>
      </c>
      <c r="T75">
        <v>30</v>
      </c>
      <c r="U75">
        <v>82</v>
      </c>
      <c r="V75">
        <v>18.66</v>
      </c>
      <c r="W75">
        <v>0.3</v>
      </c>
      <c r="X75">
        <v>764.87</v>
      </c>
      <c r="Y75">
        <v>1.53</v>
      </c>
    </row>
    <row r="76" spans="1:25" customFormat="1" ht="14.4" x14ac:dyDescent="0.25">
      <c r="A76" t="s">
        <v>94</v>
      </c>
      <c r="B76" s="26" t="s">
        <v>58</v>
      </c>
      <c r="C76" t="s">
        <v>59</v>
      </c>
      <c r="D76" t="str">
        <f t="shared" si="1"/>
        <v>N3</v>
      </c>
      <c r="E76">
        <v>12622</v>
      </c>
      <c r="F76">
        <v>557</v>
      </c>
      <c r="G76">
        <v>4.41</v>
      </c>
      <c r="H76">
        <v>1135.1500000000001</v>
      </c>
      <c r="I76">
        <v>89.93</v>
      </c>
      <c r="J76">
        <v>2.04</v>
      </c>
      <c r="K76">
        <v>4</v>
      </c>
      <c r="L76">
        <v>2522</v>
      </c>
      <c r="M76">
        <v>3</v>
      </c>
      <c r="N76">
        <v>2115.1999999999998</v>
      </c>
      <c r="O76">
        <v>7</v>
      </c>
      <c r="P76">
        <v>4637.2</v>
      </c>
      <c r="Q76">
        <v>0</v>
      </c>
      <c r="R76">
        <v>0</v>
      </c>
      <c r="S76">
        <v>87</v>
      </c>
      <c r="T76">
        <v>57</v>
      </c>
      <c r="U76">
        <v>144</v>
      </c>
      <c r="V76">
        <v>7.88</v>
      </c>
      <c r="W76">
        <v>1.26</v>
      </c>
      <c r="X76">
        <v>162.16</v>
      </c>
      <c r="Y76">
        <v>4.09</v>
      </c>
    </row>
    <row r="77" spans="1:25" customFormat="1" ht="14.4" x14ac:dyDescent="0.25">
      <c r="A77" t="s">
        <v>94</v>
      </c>
      <c r="B77" s="26" t="s">
        <v>60</v>
      </c>
      <c r="C77" t="s">
        <v>61</v>
      </c>
      <c r="D77" t="str">
        <f t="shared" si="1"/>
        <v>N1</v>
      </c>
      <c r="E77">
        <v>11184</v>
      </c>
      <c r="F77">
        <v>400</v>
      </c>
      <c r="G77">
        <v>3.58</v>
      </c>
      <c r="H77">
        <v>356.35</v>
      </c>
      <c r="I77">
        <v>31.86</v>
      </c>
      <c r="J77">
        <v>0.89</v>
      </c>
      <c r="K77">
        <v>1</v>
      </c>
      <c r="L77">
        <v>425.46</v>
      </c>
      <c r="M77">
        <v>0</v>
      </c>
      <c r="N77">
        <v>0</v>
      </c>
      <c r="O77">
        <v>1</v>
      </c>
      <c r="P77">
        <v>425.46</v>
      </c>
      <c r="Q77">
        <v>0</v>
      </c>
      <c r="R77">
        <v>0</v>
      </c>
      <c r="S77">
        <v>22</v>
      </c>
      <c r="T77">
        <v>13</v>
      </c>
      <c r="U77">
        <v>35</v>
      </c>
      <c r="V77">
        <v>10.18</v>
      </c>
      <c r="W77">
        <v>0.25</v>
      </c>
      <c r="X77">
        <v>356.35</v>
      </c>
      <c r="Y77">
        <v>1.19</v>
      </c>
    </row>
    <row r="78" spans="1:25" customFormat="1" ht="14.4" x14ac:dyDescent="0.25">
      <c r="A78" t="s">
        <v>94</v>
      </c>
      <c r="B78" s="26" t="s">
        <v>55</v>
      </c>
      <c r="C78" t="s">
        <v>56</v>
      </c>
      <c r="D78" t="str">
        <f t="shared" si="1"/>
        <v>N3</v>
      </c>
      <c r="E78">
        <v>8831</v>
      </c>
      <c r="F78">
        <v>211</v>
      </c>
      <c r="G78">
        <v>2.39</v>
      </c>
      <c r="H78">
        <v>708.37</v>
      </c>
      <c r="I78">
        <v>80.209999999999994</v>
      </c>
      <c r="J78">
        <v>3.36</v>
      </c>
      <c r="K78">
        <v>5</v>
      </c>
      <c r="L78">
        <v>3102.5</v>
      </c>
      <c r="M78">
        <v>3</v>
      </c>
      <c r="N78">
        <v>2123</v>
      </c>
      <c r="O78">
        <v>8</v>
      </c>
      <c r="P78">
        <v>5225.5</v>
      </c>
      <c r="Q78">
        <v>0</v>
      </c>
      <c r="R78">
        <v>0</v>
      </c>
      <c r="S78">
        <v>53</v>
      </c>
      <c r="T78">
        <v>24</v>
      </c>
      <c r="U78">
        <v>77</v>
      </c>
      <c r="V78">
        <v>9.1999999999999993</v>
      </c>
      <c r="W78">
        <v>3.79</v>
      </c>
      <c r="X78">
        <v>88.55</v>
      </c>
      <c r="Y78">
        <v>7.38</v>
      </c>
    </row>
    <row r="79" spans="1:25" customFormat="1" ht="14.4" x14ac:dyDescent="0.25">
      <c r="A79" t="s">
        <v>94</v>
      </c>
      <c r="B79" s="26" t="s">
        <v>64</v>
      </c>
      <c r="C79" t="s">
        <v>65</v>
      </c>
      <c r="D79" t="str">
        <f t="shared" si="1"/>
        <v>N3</v>
      </c>
      <c r="E79">
        <v>8821</v>
      </c>
      <c r="F79">
        <v>454</v>
      </c>
      <c r="G79">
        <v>5.15</v>
      </c>
      <c r="H79">
        <v>1282.45</v>
      </c>
      <c r="I79">
        <v>145.38999999999999</v>
      </c>
      <c r="J79">
        <v>2.82</v>
      </c>
      <c r="K79">
        <v>5</v>
      </c>
      <c r="L79">
        <v>3678.5</v>
      </c>
      <c r="M79">
        <v>8</v>
      </c>
      <c r="N79">
        <v>7093.31</v>
      </c>
      <c r="O79">
        <v>13</v>
      </c>
      <c r="P79">
        <v>10771.81</v>
      </c>
      <c r="Q79">
        <v>0</v>
      </c>
      <c r="R79">
        <v>0</v>
      </c>
      <c r="S79">
        <v>88</v>
      </c>
      <c r="T79">
        <v>77</v>
      </c>
      <c r="U79">
        <v>165</v>
      </c>
      <c r="V79">
        <v>7.77</v>
      </c>
      <c r="W79">
        <v>2.86</v>
      </c>
      <c r="X79">
        <v>98.65</v>
      </c>
      <c r="Y79">
        <v>8.4</v>
      </c>
    </row>
    <row r="80" spans="1:25" customFormat="1" ht="14.4" x14ac:dyDescent="0.25">
      <c r="A80" t="s">
        <v>94</v>
      </c>
      <c r="B80" s="26" t="s">
        <v>66</v>
      </c>
      <c r="C80" t="s">
        <v>67</v>
      </c>
      <c r="D80" t="str">
        <f t="shared" si="1"/>
        <v>N1</v>
      </c>
      <c r="E80">
        <v>6961</v>
      </c>
      <c r="F80">
        <v>140</v>
      </c>
      <c r="G80">
        <v>2.0099999999999998</v>
      </c>
      <c r="H80">
        <v>190.62</v>
      </c>
      <c r="I80">
        <v>27.38</v>
      </c>
      <c r="J80">
        <v>1.36</v>
      </c>
      <c r="K80">
        <v>1</v>
      </c>
      <c r="L80">
        <v>451.5</v>
      </c>
      <c r="M80">
        <v>0</v>
      </c>
      <c r="N80">
        <v>0</v>
      </c>
      <c r="O80">
        <v>1</v>
      </c>
      <c r="P80">
        <v>451.5</v>
      </c>
      <c r="Q80">
        <v>0</v>
      </c>
      <c r="R80">
        <v>0</v>
      </c>
      <c r="S80">
        <v>22</v>
      </c>
      <c r="T80">
        <v>8</v>
      </c>
      <c r="U80">
        <v>30</v>
      </c>
      <c r="V80">
        <v>6.35</v>
      </c>
      <c r="W80">
        <v>0.71</v>
      </c>
      <c r="X80">
        <v>190.62</v>
      </c>
      <c r="Y80">
        <v>2.37</v>
      </c>
    </row>
    <row r="81" spans="1:25" customFormat="1" ht="14.4" x14ac:dyDescent="0.25">
      <c r="A81" t="s">
        <v>94</v>
      </c>
      <c r="B81" s="26" t="s">
        <v>69</v>
      </c>
      <c r="C81" t="s">
        <v>70</v>
      </c>
      <c r="D81" t="str">
        <f t="shared" si="1"/>
        <v>N3</v>
      </c>
      <c r="E81">
        <v>6936</v>
      </c>
      <c r="F81">
        <v>180</v>
      </c>
      <c r="G81">
        <v>2.6</v>
      </c>
      <c r="H81">
        <v>566.03</v>
      </c>
      <c r="I81">
        <v>81.61</v>
      </c>
      <c r="J81">
        <v>3.14</v>
      </c>
      <c r="K81">
        <v>3</v>
      </c>
      <c r="L81">
        <v>2210</v>
      </c>
      <c r="M81">
        <v>1</v>
      </c>
      <c r="N81">
        <v>768</v>
      </c>
      <c r="O81">
        <v>4</v>
      </c>
      <c r="P81">
        <v>2978</v>
      </c>
      <c r="Q81">
        <v>0</v>
      </c>
      <c r="R81">
        <v>0</v>
      </c>
      <c r="S81">
        <v>66</v>
      </c>
      <c r="T81">
        <v>6</v>
      </c>
      <c r="U81">
        <v>72</v>
      </c>
      <c r="V81">
        <v>7.86</v>
      </c>
      <c r="W81">
        <v>2.2200000000000002</v>
      </c>
      <c r="X81">
        <v>141.51</v>
      </c>
      <c r="Y81">
        <v>5.26</v>
      </c>
    </row>
    <row r="82" spans="1:25" customFormat="1" ht="14.4" x14ac:dyDescent="0.25">
      <c r="A82" t="s">
        <v>94</v>
      </c>
      <c r="B82" s="26" t="s">
        <v>62</v>
      </c>
      <c r="C82" t="s">
        <v>63</v>
      </c>
      <c r="D82" t="str">
        <f t="shared" si="1"/>
        <v>N1</v>
      </c>
      <c r="E82">
        <v>6651</v>
      </c>
      <c r="F82">
        <v>169</v>
      </c>
      <c r="G82">
        <v>2.54</v>
      </c>
      <c r="H82">
        <v>240.81</v>
      </c>
      <c r="I82">
        <v>36.21</v>
      </c>
      <c r="J82">
        <v>1.42</v>
      </c>
      <c r="K82">
        <v>0</v>
      </c>
      <c r="L82">
        <v>0</v>
      </c>
      <c r="M82">
        <v>1</v>
      </c>
      <c r="N82">
        <v>630.5</v>
      </c>
      <c r="O82">
        <v>1</v>
      </c>
      <c r="P82">
        <v>630.5</v>
      </c>
      <c r="Q82">
        <v>0</v>
      </c>
      <c r="R82">
        <v>0</v>
      </c>
      <c r="S82">
        <v>26</v>
      </c>
      <c r="T82">
        <v>10</v>
      </c>
      <c r="U82">
        <v>36</v>
      </c>
      <c r="V82">
        <v>6.69</v>
      </c>
      <c r="W82">
        <v>0.59</v>
      </c>
      <c r="X82">
        <v>240.81</v>
      </c>
      <c r="Y82">
        <v>2.62</v>
      </c>
    </row>
    <row r="83" spans="1:25" customFormat="1" ht="14.4" x14ac:dyDescent="0.25">
      <c r="A83" t="s">
        <v>94</v>
      </c>
      <c r="B83" s="26" t="s">
        <v>71</v>
      </c>
      <c r="C83" t="s">
        <v>72</v>
      </c>
      <c r="D83" t="str">
        <f t="shared" si="1"/>
        <v>N3</v>
      </c>
      <c r="E83">
        <v>4887</v>
      </c>
      <c r="F83">
        <v>88</v>
      </c>
      <c r="G83">
        <v>1.8</v>
      </c>
      <c r="H83">
        <v>271.24</v>
      </c>
      <c r="I83">
        <v>55.5</v>
      </c>
      <c r="J83">
        <v>3.08</v>
      </c>
      <c r="K83">
        <v>4</v>
      </c>
      <c r="L83">
        <v>2906.01</v>
      </c>
      <c r="M83">
        <v>0</v>
      </c>
      <c r="N83">
        <v>0</v>
      </c>
      <c r="O83">
        <v>4</v>
      </c>
      <c r="P83">
        <v>2906.01</v>
      </c>
      <c r="Q83">
        <v>0</v>
      </c>
      <c r="R83">
        <v>0</v>
      </c>
      <c r="S83">
        <v>19</v>
      </c>
      <c r="T83">
        <v>4</v>
      </c>
      <c r="U83">
        <v>23</v>
      </c>
      <c r="V83">
        <v>11.79</v>
      </c>
      <c r="W83">
        <v>4.55</v>
      </c>
      <c r="X83">
        <v>67.81</v>
      </c>
      <c r="Y83">
        <v>10.71</v>
      </c>
    </row>
    <row r="84" spans="1:25" customFormat="1" ht="14.4" x14ac:dyDescent="0.25">
      <c r="A84" t="s">
        <v>94</v>
      </c>
      <c r="B84" s="26" t="s">
        <v>73</v>
      </c>
      <c r="C84" t="s">
        <v>74</v>
      </c>
      <c r="D84" t="str">
        <f t="shared" si="1"/>
        <v>N2</v>
      </c>
      <c r="E84">
        <v>3970</v>
      </c>
      <c r="F84">
        <v>105</v>
      </c>
      <c r="G84">
        <v>2.64</v>
      </c>
      <c r="H84">
        <v>515.07000000000005</v>
      </c>
      <c r="I84">
        <v>129.74</v>
      </c>
      <c r="J84">
        <v>4.91</v>
      </c>
      <c r="K84">
        <v>0</v>
      </c>
      <c r="L84">
        <v>0</v>
      </c>
      <c r="M84">
        <v>1</v>
      </c>
      <c r="N84">
        <v>904.2</v>
      </c>
      <c r="O84">
        <v>1</v>
      </c>
      <c r="P84">
        <v>904.2</v>
      </c>
      <c r="Q84">
        <v>0</v>
      </c>
      <c r="R84">
        <v>0</v>
      </c>
      <c r="S84">
        <v>24</v>
      </c>
      <c r="T84">
        <v>16</v>
      </c>
      <c r="U84">
        <v>40</v>
      </c>
      <c r="V84">
        <v>12.88</v>
      </c>
      <c r="W84">
        <v>0.95</v>
      </c>
      <c r="X84">
        <v>515.07000000000005</v>
      </c>
      <c r="Y84">
        <v>1.76</v>
      </c>
    </row>
    <row r="85" spans="1:25" customFormat="1" ht="14.4" x14ac:dyDescent="0.25">
      <c r="A85" t="s">
        <v>94</v>
      </c>
      <c r="B85" s="26" t="s">
        <v>75</v>
      </c>
      <c r="C85" t="s">
        <v>76</v>
      </c>
      <c r="D85" t="str">
        <f t="shared" si="1"/>
        <v>N2</v>
      </c>
      <c r="E85">
        <v>3803</v>
      </c>
      <c r="F85">
        <v>99</v>
      </c>
      <c r="G85">
        <v>2.6</v>
      </c>
      <c r="H85">
        <v>379.06</v>
      </c>
      <c r="I85">
        <v>99.67</v>
      </c>
      <c r="J85">
        <v>3.83</v>
      </c>
      <c r="K85">
        <v>0</v>
      </c>
      <c r="L85">
        <v>0</v>
      </c>
      <c r="M85">
        <v>6</v>
      </c>
      <c r="N85">
        <v>3126.66</v>
      </c>
      <c r="O85">
        <v>6</v>
      </c>
      <c r="P85">
        <v>3126.66</v>
      </c>
      <c r="Q85">
        <v>0</v>
      </c>
      <c r="R85">
        <v>0</v>
      </c>
      <c r="S85">
        <v>39</v>
      </c>
      <c r="T85">
        <v>19</v>
      </c>
      <c r="U85">
        <v>58</v>
      </c>
      <c r="V85">
        <v>6.54</v>
      </c>
      <c r="W85">
        <v>6.06</v>
      </c>
      <c r="X85">
        <v>63.18</v>
      </c>
      <c r="Y85">
        <v>8.25</v>
      </c>
    </row>
    <row r="86" spans="1:25" customFormat="1" ht="14.4" x14ac:dyDescent="0.25">
      <c r="A86" t="s">
        <v>94</v>
      </c>
      <c r="B86" s="26" t="s">
        <v>77</v>
      </c>
      <c r="C86" t="s">
        <v>78</v>
      </c>
      <c r="D86" t="str">
        <f t="shared" si="1"/>
        <v>N1</v>
      </c>
      <c r="E86">
        <v>318</v>
      </c>
      <c r="F86">
        <v>4</v>
      </c>
      <c r="G86">
        <v>1.26</v>
      </c>
      <c r="H86">
        <v>14.75</v>
      </c>
      <c r="I86">
        <v>46.38</v>
      </c>
      <c r="J86">
        <v>3.69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customFormat="1" ht="14.4" x14ac:dyDescent="0.25">
      <c r="A87" t="s">
        <v>94</v>
      </c>
      <c r="B87" s="26" t="s">
        <v>79</v>
      </c>
      <c r="C87" t="s">
        <v>80</v>
      </c>
      <c r="D87" t="str">
        <f t="shared" si="1"/>
        <v>N1</v>
      </c>
      <c r="E87">
        <v>147</v>
      </c>
      <c r="F87">
        <v>4</v>
      </c>
      <c r="G87">
        <v>2.72</v>
      </c>
      <c r="H87">
        <v>12.14</v>
      </c>
      <c r="I87">
        <v>82.59</v>
      </c>
      <c r="J87">
        <v>3.04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customFormat="1" ht="14.4" x14ac:dyDescent="0.25">
      <c r="A88" t="s">
        <v>94</v>
      </c>
      <c r="B88" s="26" t="s">
        <v>82</v>
      </c>
      <c r="C88" t="s">
        <v>83</v>
      </c>
      <c r="D88" t="str">
        <f t="shared" si="1"/>
        <v>N1</v>
      </c>
      <c r="E88">
        <v>79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customFormat="1" ht="14.4" x14ac:dyDescent="0.25">
      <c r="A89" t="s">
        <v>95</v>
      </c>
      <c r="B89" s="26" t="s">
        <v>50</v>
      </c>
      <c r="C89" t="s">
        <v>51</v>
      </c>
      <c r="D89" t="str">
        <f t="shared" si="1"/>
        <v>S1</v>
      </c>
      <c r="E89">
        <v>394882</v>
      </c>
      <c r="F89">
        <v>12841</v>
      </c>
      <c r="G89">
        <v>3.25</v>
      </c>
      <c r="H89">
        <v>32993.160000000003</v>
      </c>
      <c r="I89">
        <v>83.55</v>
      </c>
      <c r="J89">
        <v>2.57</v>
      </c>
      <c r="K89">
        <v>91</v>
      </c>
      <c r="L89">
        <v>147742.53</v>
      </c>
      <c r="M89">
        <v>55</v>
      </c>
      <c r="N89">
        <v>51405.599999999999</v>
      </c>
      <c r="O89">
        <v>146</v>
      </c>
      <c r="P89">
        <v>199148.13</v>
      </c>
      <c r="Q89">
        <v>0</v>
      </c>
      <c r="R89">
        <v>0</v>
      </c>
      <c r="S89">
        <v>1847</v>
      </c>
      <c r="T89">
        <v>640</v>
      </c>
      <c r="U89">
        <v>2487</v>
      </c>
      <c r="V89">
        <v>13.27</v>
      </c>
      <c r="W89">
        <v>1.1399999999999999</v>
      </c>
      <c r="X89">
        <v>225.98</v>
      </c>
      <c r="Y89">
        <v>6.04</v>
      </c>
    </row>
    <row r="90" spans="1:25" customFormat="1" ht="14.4" x14ac:dyDescent="0.25">
      <c r="A90" t="s">
        <v>95</v>
      </c>
      <c r="B90" s="26" t="s">
        <v>48</v>
      </c>
      <c r="C90" t="s">
        <v>49</v>
      </c>
      <c r="D90" t="str">
        <f t="shared" si="1"/>
        <v>N2</v>
      </c>
      <c r="E90">
        <v>183832</v>
      </c>
      <c r="F90">
        <v>7894</v>
      </c>
      <c r="G90">
        <v>4.29</v>
      </c>
      <c r="H90">
        <v>16743.599999999999</v>
      </c>
      <c r="I90">
        <v>91.08</v>
      </c>
      <c r="J90">
        <v>2.12</v>
      </c>
      <c r="K90">
        <v>154</v>
      </c>
      <c r="L90">
        <v>112769.64</v>
      </c>
      <c r="M90">
        <v>37</v>
      </c>
      <c r="N90">
        <v>29848.36</v>
      </c>
      <c r="O90">
        <v>191</v>
      </c>
      <c r="P90">
        <v>142618</v>
      </c>
      <c r="Q90">
        <v>0</v>
      </c>
      <c r="R90">
        <v>0</v>
      </c>
      <c r="S90">
        <v>1369</v>
      </c>
      <c r="T90">
        <v>650</v>
      </c>
      <c r="U90">
        <v>2019</v>
      </c>
      <c r="V90">
        <v>8.2899999999999991</v>
      </c>
      <c r="W90">
        <v>2.42</v>
      </c>
      <c r="X90">
        <v>87.66</v>
      </c>
      <c r="Y90">
        <v>8.52</v>
      </c>
    </row>
    <row r="91" spans="1:25" customFormat="1" ht="14.4" x14ac:dyDescent="0.25">
      <c r="A91" t="s">
        <v>95</v>
      </c>
      <c r="B91" s="26" t="s">
        <v>52</v>
      </c>
      <c r="C91" t="s">
        <v>53</v>
      </c>
      <c r="D91" t="str">
        <f t="shared" si="1"/>
        <v>N2</v>
      </c>
      <c r="E91">
        <v>107415</v>
      </c>
      <c r="F91">
        <v>4267</v>
      </c>
      <c r="G91">
        <v>3.97</v>
      </c>
      <c r="H91">
        <v>11546.81</v>
      </c>
      <c r="I91">
        <v>107.5</v>
      </c>
      <c r="J91">
        <v>2.71</v>
      </c>
      <c r="K91">
        <v>59</v>
      </c>
      <c r="L91">
        <v>53423.1</v>
      </c>
      <c r="M91">
        <v>28</v>
      </c>
      <c r="N91">
        <v>20016.7</v>
      </c>
      <c r="O91">
        <v>87</v>
      </c>
      <c r="P91">
        <v>73439.8</v>
      </c>
      <c r="Q91">
        <v>0</v>
      </c>
      <c r="R91">
        <v>0</v>
      </c>
      <c r="S91">
        <v>599</v>
      </c>
      <c r="T91">
        <v>320</v>
      </c>
      <c r="U91">
        <v>919</v>
      </c>
      <c r="V91">
        <v>12.56</v>
      </c>
      <c r="W91">
        <v>2.04</v>
      </c>
      <c r="X91">
        <v>132.72</v>
      </c>
      <c r="Y91">
        <v>6.36</v>
      </c>
    </row>
    <row r="92" spans="1:25" customFormat="1" ht="14.4" x14ac:dyDescent="0.25">
      <c r="A92" t="s">
        <v>95</v>
      </c>
      <c r="B92" s="26" t="s">
        <v>60</v>
      </c>
      <c r="C92" t="s">
        <v>61</v>
      </c>
      <c r="D92" t="str">
        <f t="shared" si="1"/>
        <v>N1</v>
      </c>
      <c r="E92">
        <v>21334</v>
      </c>
      <c r="F92">
        <v>1001</v>
      </c>
      <c r="G92">
        <v>4.6900000000000004</v>
      </c>
      <c r="H92">
        <v>687.33</v>
      </c>
      <c r="I92">
        <v>32.22</v>
      </c>
      <c r="J92">
        <v>0.69</v>
      </c>
      <c r="K92">
        <v>3</v>
      </c>
      <c r="L92">
        <v>1260</v>
      </c>
      <c r="M92">
        <v>3</v>
      </c>
      <c r="N92">
        <v>1578.16</v>
      </c>
      <c r="O92">
        <v>6</v>
      </c>
      <c r="P92">
        <v>2838.16</v>
      </c>
      <c r="Q92">
        <v>0</v>
      </c>
      <c r="R92">
        <v>0</v>
      </c>
      <c r="S92">
        <v>54</v>
      </c>
      <c r="T92">
        <v>76</v>
      </c>
      <c r="U92">
        <v>130</v>
      </c>
      <c r="V92">
        <v>5.29</v>
      </c>
      <c r="W92">
        <v>0.6</v>
      </c>
      <c r="X92">
        <v>114.56</v>
      </c>
      <c r="Y92">
        <v>4.13</v>
      </c>
    </row>
    <row r="93" spans="1:25" customFormat="1" ht="14.4" x14ac:dyDescent="0.25">
      <c r="A93" t="s">
        <v>95</v>
      </c>
      <c r="B93" s="26" t="s">
        <v>58</v>
      </c>
      <c r="C93" t="s">
        <v>59</v>
      </c>
      <c r="D93" t="str">
        <f t="shared" si="1"/>
        <v>N3</v>
      </c>
      <c r="E93">
        <v>12860</v>
      </c>
      <c r="F93">
        <v>524</v>
      </c>
      <c r="G93">
        <v>4.07</v>
      </c>
      <c r="H93">
        <v>949.09</v>
      </c>
      <c r="I93">
        <v>73.8</v>
      </c>
      <c r="J93">
        <v>1.81</v>
      </c>
      <c r="K93">
        <v>6</v>
      </c>
      <c r="L93">
        <v>3783</v>
      </c>
      <c r="M93">
        <v>9</v>
      </c>
      <c r="N93">
        <v>5940.44</v>
      </c>
      <c r="O93">
        <v>15</v>
      </c>
      <c r="P93">
        <v>9723.44</v>
      </c>
      <c r="Q93">
        <v>0</v>
      </c>
      <c r="R93">
        <v>0</v>
      </c>
      <c r="S93">
        <v>78</v>
      </c>
      <c r="T93">
        <v>74</v>
      </c>
      <c r="U93">
        <v>152</v>
      </c>
      <c r="V93">
        <v>6.24</v>
      </c>
      <c r="W93">
        <v>2.86</v>
      </c>
      <c r="X93">
        <v>63.27</v>
      </c>
      <c r="Y93">
        <v>10.25</v>
      </c>
    </row>
    <row r="94" spans="1:25" customFormat="1" ht="14.4" x14ac:dyDescent="0.25">
      <c r="A94" t="s">
        <v>95</v>
      </c>
      <c r="B94" s="26" t="s">
        <v>64</v>
      </c>
      <c r="C94" t="s">
        <v>65</v>
      </c>
      <c r="D94" t="str">
        <f t="shared" si="1"/>
        <v>N3</v>
      </c>
      <c r="E94">
        <v>9659</v>
      </c>
      <c r="F94">
        <v>357</v>
      </c>
      <c r="G94">
        <v>3.7</v>
      </c>
      <c r="H94">
        <v>1086.0999999999999</v>
      </c>
      <c r="I94">
        <v>112.44</v>
      </c>
      <c r="J94">
        <v>3.04</v>
      </c>
      <c r="K94">
        <v>3</v>
      </c>
      <c r="L94">
        <v>2177.1</v>
      </c>
      <c r="M94">
        <v>5</v>
      </c>
      <c r="N94">
        <v>3832.1</v>
      </c>
      <c r="O94">
        <v>8</v>
      </c>
      <c r="P94">
        <v>6009.2</v>
      </c>
      <c r="Q94">
        <v>0</v>
      </c>
      <c r="R94">
        <v>0</v>
      </c>
      <c r="S94">
        <v>53</v>
      </c>
      <c r="T94">
        <v>42</v>
      </c>
      <c r="U94">
        <v>95</v>
      </c>
      <c r="V94">
        <v>11.43</v>
      </c>
      <c r="W94">
        <v>2.2400000000000002</v>
      </c>
      <c r="X94">
        <v>135.76</v>
      </c>
      <c r="Y94">
        <v>5.53</v>
      </c>
    </row>
    <row r="95" spans="1:25" customFormat="1" ht="14.4" x14ac:dyDescent="0.25">
      <c r="A95" t="s">
        <v>95</v>
      </c>
      <c r="B95" s="26" t="s">
        <v>55</v>
      </c>
      <c r="C95" t="s">
        <v>56</v>
      </c>
      <c r="D95" t="str">
        <f t="shared" si="1"/>
        <v>N3</v>
      </c>
      <c r="E95">
        <v>8805</v>
      </c>
      <c r="F95">
        <v>206</v>
      </c>
      <c r="G95">
        <v>2.34</v>
      </c>
      <c r="H95">
        <v>537.52</v>
      </c>
      <c r="I95">
        <v>61.05</v>
      </c>
      <c r="J95">
        <v>2.61</v>
      </c>
      <c r="K95">
        <v>0</v>
      </c>
      <c r="L95">
        <v>0</v>
      </c>
      <c r="M95">
        <v>2</v>
      </c>
      <c r="N95">
        <v>1333.2</v>
      </c>
      <c r="O95">
        <v>2</v>
      </c>
      <c r="P95">
        <v>1333.2</v>
      </c>
      <c r="Q95">
        <v>0</v>
      </c>
      <c r="R95">
        <v>0</v>
      </c>
      <c r="S95">
        <v>32</v>
      </c>
      <c r="T95">
        <v>22</v>
      </c>
      <c r="U95">
        <v>54</v>
      </c>
      <c r="V95">
        <v>9.9499999999999993</v>
      </c>
      <c r="W95">
        <v>0.97</v>
      </c>
      <c r="X95">
        <v>268.76</v>
      </c>
      <c r="Y95">
        <v>2.48</v>
      </c>
    </row>
    <row r="96" spans="1:25" customFormat="1" ht="14.4" x14ac:dyDescent="0.25">
      <c r="A96" t="s">
        <v>95</v>
      </c>
      <c r="B96" s="26" t="s">
        <v>66</v>
      </c>
      <c r="C96" t="s">
        <v>67</v>
      </c>
      <c r="D96" t="str">
        <f t="shared" si="1"/>
        <v>N1</v>
      </c>
      <c r="E96">
        <v>7338</v>
      </c>
      <c r="F96">
        <v>204</v>
      </c>
      <c r="G96">
        <v>2.78</v>
      </c>
      <c r="H96">
        <v>311.12</v>
      </c>
      <c r="I96">
        <v>42.4</v>
      </c>
      <c r="J96">
        <v>1.53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23</v>
      </c>
      <c r="T96">
        <v>15</v>
      </c>
      <c r="U96">
        <v>38</v>
      </c>
      <c r="V96">
        <v>8.19</v>
      </c>
      <c r="W96">
        <v>0</v>
      </c>
      <c r="X96">
        <v>0</v>
      </c>
      <c r="Y96">
        <v>0</v>
      </c>
    </row>
    <row r="97" spans="1:25" customFormat="1" ht="14.4" x14ac:dyDescent="0.25">
      <c r="A97" t="s">
        <v>95</v>
      </c>
      <c r="B97" s="26" t="s">
        <v>62</v>
      </c>
      <c r="C97" t="s">
        <v>63</v>
      </c>
      <c r="D97" t="str">
        <f t="shared" si="1"/>
        <v>N1</v>
      </c>
      <c r="E97">
        <v>6001</v>
      </c>
      <c r="F97">
        <v>219</v>
      </c>
      <c r="G97">
        <v>3.65</v>
      </c>
      <c r="H97">
        <v>383.89</v>
      </c>
      <c r="I97">
        <v>63.97</v>
      </c>
      <c r="J97">
        <v>1.75</v>
      </c>
      <c r="K97">
        <v>2</v>
      </c>
      <c r="L97">
        <v>821.33</v>
      </c>
      <c r="M97">
        <v>1</v>
      </c>
      <c r="N97">
        <v>401.33</v>
      </c>
      <c r="O97">
        <v>3</v>
      </c>
      <c r="P97">
        <v>1222.6600000000001</v>
      </c>
      <c r="Q97">
        <v>0</v>
      </c>
      <c r="R97">
        <v>0</v>
      </c>
      <c r="S97">
        <v>29</v>
      </c>
      <c r="T97">
        <v>20</v>
      </c>
      <c r="U97">
        <v>49</v>
      </c>
      <c r="V97">
        <v>7.83</v>
      </c>
      <c r="W97">
        <v>1.37</v>
      </c>
      <c r="X97">
        <v>127.96</v>
      </c>
      <c r="Y97">
        <v>3.18</v>
      </c>
    </row>
    <row r="98" spans="1:25" customFormat="1" ht="14.4" x14ac:dyDescent="0.25">
      <c r="A98" t="s">
        <v>95</v>
      </c>
      <c r="B98" s="26" t="s">
        <v>69</v>
      </c>
      <c r="C98" t="s">
        <v>70</v>
      </c>
      <c r="D98" t="str">
        <f t="shared" si="1"/>
        <v>N3</v>
      </c>
      <c r="E98">
        <v>5747</v>
      </c>
      <c r="F98">
        <v>180</v>
      </c>
      <c r="G98">
        <v>3.13</v>
      </c>
      <c r="H98">
        <v>456.28</v>
      </c>
      <c r="I98">
        <v>79.39</v>
      </c>
      <c r="J98">
        <v>2.5299999999999998</v>
      </c>
      <c r="K98">
        <v>4</v>
      </c>
      <c r="L98">
        <v>2996</v>
      </c>
      <c r="M98">
        <v>1</v>
      </c>
      <c r="N98">
        <v>904.2</v>
      </c>
      <c r="O98">
        <v>5</v>
      </c>
      <c r="P98">
        <v>3900.2</v>
      </c>
      <c r="Q98">
        <v>0</v>
      </c>
      <c r="R98">
        <v>0</v>
      </c>
      <c r="S98">
        <v>48</v>
      </c>
      <c r="T98">
        <v>9</v>
      </c>
      <c r="U98">
        <v>57</v>
      </c>
      <c r="V98">
        <v>8</v>
      </c>
      <c r="W98">
        <v>2.78</v>
      </c>
      <c r="X98">
        <v>91.26</v>
      </c>
      <c r="Y98">
        <v>8.5500000000000007</v>
      </c>
    </row>
    <row r="99" spans="1:25" customFormat="1" ht="14.4" x14ac:dyDescent="0.25">
      <c r="A99" t="s">
        <v>95</v>
      </c>
      <c r="B99" s="26" t="s">
        <v>71</v>
      </c>
      <c r="C99" t="s">
        <v>72</v>
      </c>
      <c r="D99" t="str">
        <f t="shared" si="1"/>
        <v>N3</v>
      </c>
      <c r="E99">
        <v>4814</v>
      </c>
      <c r="F99">
        <v>98</v>
      </c>
      <c r="G99">
        <v>2.04</v>
      </c>
      <c r="H99">
        <v>320.41000000000003</v>
      </c>
      <c r="I99">
        <v>66.56</v>
      </c>
      <c r="J99">
        <v>3.27</v>
      </c>
      <c r="K99">
        <v>1</v>
      </c>
      <c r="L99">
        <v>735.7</v>
      </c>
      <c r="M99">
        <v>2</v>
      </c>
      <c r="N99">
        <v>1468</v>
      </c>
      <c r="O99">
        <v>3</v>
      </c>
      <c r="P99">
        <v>2203.6999999999998</v>
      </c>
      <c r="Q99">
        <v>0</v>
      </c>
      <c r="R99">
        <v>0</v>
      </c>
      <c r="S99">
        <v>30</v>
      </c>
      <c r="T99">
        <v>12</v>
      </c>
      <c r="U99">
        <v>42</v>
      </c>
      <c r="V99">
        <v>7.63</v>
      </c>
      <c r="W99">
        <v>3.06</v>
      </c>
      <c r="X99">
        <v>106.8</v>
      </c>
      <c r="Y99">
        <v>6.88</v>
      </c>
    </row>
    <row r="100" spans="1:25" customFormat="1" ht="14.4" x14ac:dyDescent="0.25">
      <c r="A100" t="s">
        <v>95</v>
      </c>
      <c r="B100" s="26" t="s">
        <v>73</v>
      </c>
      <c r="C100" t="s">
        <v>74</v>
      </c>
      <c r="D100" t="str">
        <f t="shared" si="1"/>
        <v>N2</v>
      </c>
      <c r="E100">
        <v>1859</v>
      </c>
      <c r="F100">
        <v>25</v>
      </c>
      <c r="G100">
        <v>1.34</v>
      </c>
      <c r="H100">
        <v>52.92</v>
      </c>
      <c r="I100">
        <v>28.47</v>
      </c>
      <c r="J100">
        <v>2.12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2</v>
      </c>
      <c r="U100">
        <v>3</v>
      </c>
      <c r="V100">
        <v>17.64</v>
      </c>
      <c r="W100">
        <v>0</v>
      </c>
      <c r="X100">
        <v>0</v>
      </c>
      <c r="Y100">
        <v>0</v>
      </c>
    </row>
    <row r="101" spans="1:25" customFormat="1" ht="14.4" x14ac:dyDescent="0.25">
      <c r="A101" t="s">
        <v>95</v>
      </c>
      <c r="B101" s="26" t="s">
        <v>75</v>
      </c>
      <c r="C101" t="s">
        <v>76</v>
      </c>
      <c r="D101" t="str">
        <f t="shared" si="1"/>
        <v>N2</v>
      </c>
      <c r="E101">
        <v>1815</v>
      </c>
      <c r="F101">
        <v>32</v>
      </c>
      <c r="G101">
        <v>1.76</v>
      </c>
      <c r="H101">
        <v>105.81</v>
      </c>
      <c r="I101">
        <v>58.3</v>
      </c>
      <c r="J101">
        <v>3.31</v>
      </c>
      <c r="K101">
        <v>0</v>
      </c>
      <c r="L101">
        <v>0</v>
      </c>
      <c r="M101">
        <v>2</v>
      </c>
      <c r="N101">
        <v>1424.56</v>
      </c>
      <c r="O101">
        <v>2</v>
      </c>
      <c r="P101">
        <v>1424.56</v>
      </c>
      <c r="Q101">
        <v>0</v>
      </c>
      <c r="R101">
        <v>0</v>
      </c>
      <c r="S101">
        <v>11</v>
      </c>
      <c r="T101">
        <v>8</v>
      </c>
      <c r="U101">
        <v>19</v>
      </c>
      <c r="V101">
        <v>5.57</v>
      </c>
      <c r="W101">
        <v>6.25</v>
      </c>
      <c r="X101">
        <v>52.91</v>
      </c>
      <c r="Y101">
        <v>13.46</v>
      </c>
    </row>
    <row r="102" spans="1:25" customFormat="1" ht="14.4" x14ac:dyDescent="0.25">
      <c r="A102" t="s">
        <v>95</v>
      </c>
      <c r="B102" s="26" t="s">
        <v>77</v>
      </c>
      <c r="C102" t="s">
        <v>78</v>
      </c>
      <c r="D102" t="str">
        <f t="shared" si="1"/>
        <v>N1</v>
      </c>
      <c r="E102">
        <v>935</v>
      </c>
      <c r="F102">
        <v>11</v>
      </c>
      <c r="G102">
        <v>1.18</v>
      </c>
      <c r="H102">
        <v>26.4</v>
      </c>
      <c r="I102">
        <v>28.24</v>
      </c>
      <c r="J102">
        <v>2.4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5</v>
      </c>
      <c r="U102">
        <v>5</v>
      </c>
      <c r="V102">
        <v>5.28</v>
      </c>
      <c r="W102">
        <v>0</v>
      </c>
      <c r="X102">
        <v>0</v>
      </c>
      <c r="Y102">
        <v>0</v>
      </c>
    </row>
    <row r="103" spans="1:25" customFormat="1" ht="14.4" x14ac:dyDescent="0.25">
      <c r="A103" t="s">
        <v>95</v>
      </c>
      <c r="B103" s="26" t="s">
        <v>79</v>
      </c>
      <c r="C103" t="s">
        <v>80</v>
      </c>
      <c r="D103" t="str">
        <f t="shared" si="1"/>
        <v>N1</v>
      </c>
      <c r="E103">
        <v>725</v>
      </c>
      <c r="F103">
        <v>5</v>
      </c>
      <c r="G103">
        <v>0.69</v>
      </c>
      <c r="H103">
        <v>8.24</v>
      </c>
      <c r="I103">
        <v>11.37</v>
      </c>
      <c r="J103">
        <v>1.65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customFormat="1" ht="14.4" x14ac:dyDescent="0.25">
      <c r="A104" t="s">
        <v>95</v>
      </c>
      <c r="B104" s="26" t="s">
        <v>82</v>
      </c>
      <c r="C104" t="s">
        <v>83</v>
      </c>
      <c r="D104" t="str">
        <f t="shared" si="1"/>
        <v>N1</v>
      </c>
      <c r="E104">
        <v>385</v>
      </c>
      <c r="F104">
        <v>6</v>
      </c>
      <c r="G104">
        <v>1.56</v>
      </c>
      <c r="H104">
        <v>9.9</v>
      </c>
      <c r="I104">
        <v>25.71</v>
      </c>
      <c r="J104">
        <v>1.65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</v>
      </c>
      <c r="T104">
        <v>0</v>
      </c>
      <c r="U104">
        <v>3</v>
      </c>
      <c r="V104">
        <v>3.3</v>
      </c>
      <c r="W104">
        <v>0</v>
      </c>
      <c r="X104">
        <v>0</v>
      </c>
      <c r="Y104">
        <v>0</v>
      </c>
    </row>
    <row r="105" spans="1:25" customFormat="1" ht="14.4" x14ac:dyDescent="0.25">
      <c r="A105" t="s">
        <v>96</v>
      </c>
      <c r="B105" s="26" t="s">
        <v>50</v>
      </c>
      <c r="C105" t="s">
        <v>51</v>
      </c>
      <c r="D105" t="str">
        <f t="shared" si="1"/>
        <v>S1</v>
      </c>
      <c r="E105">
        <v>502896</v>
      </c>
      <c r="F105">
        <v>15849</v>
      </c>
      <c r="G105">
        <v>3.15</v>
      </c>
      <c r="H105">
        <v>33933.230000000003</v>
      </c>
      <c r="I105">
        <v>67.48</v>
      </c>
      <c r="J105">
        <v>2.14</v>
      </c>
      <c r="K105">
        <v>151</v>
      </c>
      <c r="L105">
        <v>228480.1</v>
      </c>
      <c r="M105">
        <v>45</v>
      </c>
      <c r="N105">
        <v>34486.46</v>
      </c>
      <c r="O105">
        <v>196</v>
      </c>
      <c r="P105">
        <v>262966.56</v>
      </c>
      <c r="Q105">
        <v>0</v>
      </c>
      <c r="R105">
        <v>0</v>
      </c>
      <c r="S105">
        <v>1891</v>
      </c>
      <c r="T105">
        <v>1016</v>
      </c>
      <c r="U105">
        <v>2907</v>
      </c>
      <c r="V105">
        <v>11.67</v>
      </c>
      <c r="W105">
        <v>1.24</v>
      </c>
      <c r="X105">
        <v>173.13</v>
      </c>
      <c r="Y105">
        <v>7.75</v>
      </c>
    </row>
    <row r="106" spans="1:25" customFormat="1" ht="14.4" x14ac:dyDescent="0.25">
      <c r="A106" t="s">
        <v>96</v>
      </c>
      <c r="B106" s="26" t="s">
        <v>48</v>
      </c>
      <c r="C106" t="s">
        <v>49</v>
      </c>
      <c r="D106" t="str">
        <f t="shared" si="1"/>
        <v>N2</v>
      </c>
      <c r="E106">
        <v>243872</v>
      </c>
      <c r="F106">
        <v>11096</v>
      </c>
      <c r="G106">
        <v>4.55</v>
      </c>
      <c r="H106">
        <v>21399.39</v>
      </c>
      <c r="I106">
        <v>87.75</v>
      </c>
      <c r="J106">
        <v>1.93</v>
      </c>
      <c r="K106">
        <v>246</v>
      </c>
      <c r="L106">
        <v>169368.64</v>
      </c>
      <c r="M106">
        <v>47</v>
      </c>
      <c r="N106">
        <v>39168.160000000003</v>
      </c>
      <c r="O106">
        <v>293</v>
      </c>
      <c r="P106">
        <v>208536.8</v>
      </c>
      <c r="Q106">
        <v>0</v>
      </c>
      <c r="R106">
        <v>0</v>
      </c>
      <c r="S106">
        <v>2511</v>
      </c>
      <c r="T106">
        <v>947</v>
      </c>
      <c r="U106">
        <v>3458</v>
      </c>
      <c r="V106">
        <v>6.19</v>
      </c>
      <c r="W106">
        <v>2.64</v>
      </c>
      <c r="X106">
        <v>73.040000000000006</v>
      </c>
      <c r="Y106">
        <v>9.74</v>
      </c>
    </row>
    <row r="107" spans="1:25" customFormat="1" ht="14.4" x14ac:dyDescent="0.25">
      <c r="A107" t="s">
        <v>96</v>
      </c>
      <c r="B107" s="26" t="s">
        <v>52</v>
      </c>
      <c r="C107" t="s">
        <v>53</v>
      </c>
      <c r="D107" t="str">
        <f t="shared" si="1"/>
        <v>N2</v>
      </c>
      <c r="E107">
        <v>97977</v>
      </c>
      <c r="F107">
        <v>3650</v>
      </c>
      <c r="G107">
        <v>3.73</v>
      </c>
      <c r="H107">
        <v>9071.75</v>
      </c>
      <c r="I107">
        <v>92.59</v>
      </c>
      <c r="J107">
        <v>2.4900000000000002</v>
      </c>
      <c r="K107">
        <v>68</v>
      </c>
      <c r="L107">
        <v>57707</v>
      </c>
      <c r="M107">
        <v>18</v>
      </c>
      <c r="N107">
        <v>12565.34</v>
      </c>
      <c r="O107">
        <v>86</v>
      </c>
      <c r="P107">
        <v>70272.34</v>
      </c>
      <c r="Q107">
        <v>0</v>
      </c>
      <c r="R107">
        <v>0</v>
      </c>
      <c r="S107">
        <v>706</v>
      </c>
      <c r="T107">
        <v>378</v>
      </c>
      <c r="U107">
        <v>1084</v>
      </c>
      <c r="V107">
        <v>8.3699999999999992</v>
      </c>
      <c r="W107">
        <v>2.36</v>
      </c>
      <c r="X107">
        <v>105.49</v>
      </c>
      <c r="Y107">
        <v>7.75</v>
      </c>
    </row>
    <row r="108" spans="1:25" customFormat="1" ht="14.4" x14ac:dyDescent="0.25">
      <c r="A108" t="s">
        <v>96</v>
      </c>
      <c r="B108" s="26" t="s">
        <v>60</v>
      </c>
      <c r="C108" t="s">
        <v>61</v>
      </c>
      <c r="D108" t="str">
        <f t="shared" si="1"/>
        <v>N1</v>
      </c>
      <c r="E108">
        <v>23933</v>
      </c>
      <c r="F108">
        <v>1033</v>
      </c>
      <c r="G108">
        <v>4.32</v>
      </c>
      <c r="H108">
        <v>712.4</v>
      </c>
      <c r="I108">
        <v>29.77</v>
      </c>
      <c r="J108">
        <v>0.69</v>
      </c>
      <c r="K108">
        <v>2</v>
      </c>
      <c r="L108">
        <v>821.33</v>
      </c>
      <c r="M108">
        <v>2</v>
      </c>
      <c r="N108">
        <v>821.33</v>
      </c>
      <c r="O108">
        <v>4</v>
      </c>
      <c r="P108">
        <v>1642.66</v>
      </c>
      <c r="Q108">
        <v>0</v>
      </c>
      <c r="R108">
        <v>0</v>
      </c>
      <c r="S108">
        <v>88</v>
      </c>
      <c r="T108">
        <v>41</v>
      </c>
      <c r="U108">
        <v>129</v>
      </c>
      <c r="V108">
        <v>5.52</v>
      </c>
      <c r="W108">
        <v>0.39</v>
      </c>
      <c r="X108">
        <v>178.1</v>
      </c>
      <c r="Y108">
        <v>2.31</v>
      </c>
    </row>
    <row r="109" spans="1:25" customFormat="1" ht="14.4" x14ac:dyDescent="0.25">
      <c r="A109" t="s">
        <v>96</v>
      </c>
      <c r="B109" s="26" t="s">
        <v>58</v>
      </c>
      <c r="C109" t="s">
        <v>59</v>
      </c>
      <c r="D109" t="str">
        <f t="shared" si="1"/>
        <v>N3</v>
      </c>
      <c r="E109">
        <v>14020</v>
      </c>
      <c r="F109">
        <v>479</v>
      </c>
      <c r="G109">
        <v>3.42</v>
      </c>
      <c r="H109">
        <v>1198.22</v>
      </c>
      <c r="I109">
        <v>85.47</v>
      </c>
      <c r="J109">
        <v>2.5</v>
      </c>
      <c r="K109">
        <v>6</v>
      </c>
      <c r="L109">
        <v>3720.86</v>
      </c>
      <c r="M109">
        <v>4</v>
      </c>
      <c r="N109">
        <v>2727.03</v>
      </c>
      <c r="O109">
        <v>10</v>
      </c>
      <c r="P109">
        <v>6447.89</v>
      </c>
      <c r="Q109">
        <v>0</v>
      </c>
      <c r="R109">
        <v>0</v>
      </c>
      <c r="S109">
        <v>106</v>
      </c>
      <c r="T109">
        <v>52</v>
      </c>
      <c r="U109">
        <v>158</v>
      </c>
      <c r="V109">
        <v>7.58</v>
      </c>
      <c r="W109">
        <v>2.09</v>
      </c>
      <c r="X109">
        <v>119.82</v>
      </c>
      <c r="Y109">
        <v>5.38</v>
      </c>
    </row>
    <row r="110" spans="1:25" customFormat="1" ht="14.4" x14ac:dyDescent="0.25">
      <c r="A110" t="s">
        <v>96</v>
      </c>
      <c r="B110" s="26" t="s">
        <v>62</v>
      </c>
      <c r="C110" t="s">
        <v>63</v>
      </c>
      <c r="D110" t="str">
        <f t="shared" si="1"/>
        <v>N1</v>
      </c>
      <c r="E110">
        <v>13832</v>
      </c>
      <c r="F110">
        <v>297</v>
      </c>
      <c r="G110">
        <v>2.15</v>
      </c>
      <c r="H110">
        <v>539.91</v>
      </c>
      <c r="I110">
        <v>39.03</v>
      </c>
      <c r="J110">
        <v>1.82</v>
      </c>
      <c r="K110">
        <v>4</v>
      </c>
      <c r="L110">
        <v>1642.66</v>
      </c>
      <c r="M110">
        <v>4</v>
      </c>
      <c r="N110">
        <v>1408.83</v>
      </c>
      <c r="O110">
        <v>8</v>
      </c>
      <c r="P110">
        <v>3051.49</v>
      </c>
      <c r="Q110">
        <v>0</v>
      </c>
      <c r="R110">
        <v>0</v>
      </c>
      <c r="S110">
        <v>52</v>
      </c>
      <c r="T110">
        <v>48</v>
      </c>
      <c r="U110">
        <v>100</v>
      </c>
      <c r="V110">
        <v>5.4</v>
      </c>
      <c r="W110">
        <v>2.69</v>
      </c>
      <c r="X110">
        <v>67.489999999999995</v>
      </c>
      <c r="Y110">
        <v>5.65</v>
      </c>
    </row>
    <row r="111" spans="1:25" customFormat="1" ht="14.4" x14ac:dyDescent="0.25">
      <c r="A111" t="s">
        <v>96</v>
      </c>
      <c r="B111" s="26" t="s">
        <v>66</v>
      </c>
      <c r="C111" t="s">
        <v>67</v>
      </c>
      <c r="D111" t="str">
        <f t="shared" si="1"/>
        <v>N1</v>
      </c>
      <c r="E111">
        <v>8652</v>
      </c>
      <c r="F111">
        <v>222</v>
      </c>
      <c r="G111">
        <v>2.57</v>
      </c>
      <c r="H111">
        <v>369.37</v>
      </c>
      <c r="I111">
        <v>42.69</v>
      </c>
      <c r="J111">
        <v>1.66</v>
      </c>
      <c r="K111">
        <v>2</v>
      </c>
      <c r="L111">
        <v>821.33</v>
      </c>
      <c r="M111">
        <v>1</v>
      </c>
      <c r="N111">
        <v>401.33</v>
      </c>
      <c r="O111">
        <v>3</v>
      </c>
      <c r="P111">
        <v>1222.6600000000001</v>
      </c>
      <c r="Q111">
        <v>0</v>
      </c>
      <c r="R111">
        <v>0</v>
      </c>
      <c r="S111">
        <v>44</v>
      </c>
      <c r="T111">
        <v>37</v>
      </c>
      <c r="U111">
        <v>81</v>
      </c>
      <c r="V111">
        <v>4.5599999999999996</v>
      </c>
      <c r="W111">
        <v>1.35</v>
      </c>
      <c r="X111">
        <v>123.12</v>
      </c>
      <c r="Y111">
        <v>3.31</v>
      </c>
    </row>
    <row r="112" spans="1:25" customFormat="1" ht="14.4" x14ac:dyDescent="0.25">
      <c r="A112" t="s">
        <v>96</v>
      </c>
      <c r="B112" s="26" t="s">
        <v>69</v>
      </c>
      <c r="C112" t="s">
        <v>70</v>
      </c>
      <c r="D112" t="str">
        <f t="shared" si="1"/>
        <v>N3</v>
      </c>
      <c r="E112">
        <v>6388</v>
      </c>
      <c r="F112">
        <v>172</v>
      </c>
      <c r="G112">
        <v>2.69</v>
      </c>
      <c r="H112">
        <v>533.55999999999995</v>
      </c>
      <c r="I112">
        <v>83.53</v>
      </c>
      <c r="J112">
        <v>3.1</v>
      </c>
      <c r="K112">
        <v>4</v>
      </c>
      <c r="L112">
        <v>2996</v>
      </c>
      <c r="M112">
        <v>1</v>
      </c>
      <c r="N112">
        <v>630.5</v>
      </c>
      <c r="O112">
        <v>5</v>
      </c>
      <c r="P112">
        <v>3626.5</v>
      </c>
      <c r="Q112">
        <v>0</v>
      </c>
      <c r="R112">
        <v>0</v>
      </c>
      <c r="S112">
        <v>32</v>
      </c>
      <c r="T112">
        <v>16</v>
      </c>
      <c r="U112">
        <v>48</v>
      </c>
      <c r="V112">
        <v>11.12</v>
      </c>
      <c r="W112">
        <v>2.91</v>
      </c>
      <c r="X112">
        <v>106.71</v>
      </c>
      <c r="Y112">
        <v>6.8</v>
      </c>
    </row>
    <row r="113" spans="1:25" customFormat="1" ht="14.4" x14ac:dyDescent="0.25">
      <c r="A113" t="s">
        <v>96</v>
      </c>
      <c r="B113" s="26" t="s">
        <v>64</v>
      </c>
      <c r="C113" t="s">
        <v>65</v>
      </c>
      <c r="D113" t="str">
        <f t="shared" si="1"/>
        <v>N3</v>
      </c>
      <c r="E113">
        <v>6050</v>
      </c>
      <c r="F113">
        <v>289</v>
      </c>
      <c r="G113">
        <v>4.78</v>
      </c>
      <c r="H113">
        <v>1021.99</v>
      </c>
      <c r="I113">
        <v>168.92</v>
      </c>
      <c r="J113">
        <v>3.54</v>
      </c>
      <c r="K113">
        <v>0</v>
      </c>
      <c r="L113">
        <v>0</v>
      </c>
      <c r="M113">
        <v>3</v>
      </c>
      <c r="N113">
        <v>1881.86</v>
      </c>
      <c r="O113">
        <v>3</v>
      </c>
      <c r="P113">
        <v>1881.86</v>
      </c>
      <c r="Q113">
        <v>0</v>
      </c>
      <c r="R113">
        <v>0</v>
      </c>
      <c r="S113">
        <v>55</v>
      </c>
      <c r="T113">
        <v>49</v>
      </c>
      <c r="U113">
        <v>104</v>
      </c>
      <c r="V113">
        <v>9.83</v>
      </c>
      <c r="W113">
        <v>1.04</v>
      </c>
      <c r="X113">
        <v>340.66</v>
      </c>
      <c r="Y113">
        <v>1.84</v>
      </c>
    </row>
    <row r="114" spans="1:25" customFormat="1" ht="14.4" x14ac:dyDescent="0.25">
      <c r="A114" t="s">
        <v>96</v>
      </c>
      <c r="B114" s="26" t="s">
        <v>55</v>
      </c>
      <c r="C114" t="s">
        <v>56</v>
      </c>
      <c r="D114" t="str">
        <f t="shared" si="1"/>
        <v>N3</v>
      </c>
      <c r="E114">
        <v>5446</v>
      </c>
      <c r="F114">
        <v>129</v>
      </c>
      <c r="G114">
        <v>2.37</v>
      </c>
      <c r="H114">
        <v>450.62</v>
      </c>
      <c r="I114">
        <v>82.74</v>
      </c>
      <c r="J114">
        <v>3.49</v>
      </c>
      <c r="K114">
        <v>1</v>
      </c>
      <c r="L114">
        <v>630.5</v>
      </c>
      <c r="M114">
        <v>3</v>
      </c>
      <c r="N114">
        <v>1996.7</v>
      </c>
      <c r="O114">
        <v>4</v>
      </c>
      <c r="P114">
        <v>2627.2</v>
      </c>
      <c r="Q114">
        <v>0</v>
      </c>
      <c r="R114">
        <v>0</v>
      </c>
      <c r="S114">
        <v>33</v>
      </c>
      <c r="T114">
        <v>43</v>
      </c>
      <c r="U114">
        <v>76</v>
      </c>
      <c r="V114">
        <v>5.93</v>
      </c>
      <c r="W114">
        <v>3.1</v>
      </c>
      <c r="X114">
        <v>112.66</v>
      </c>
      <c r="Y114">
        <v>5.83</v>
      </c>
    </row>
    <row r="115" spans="1:25" customFormat="1" ht="14.4" x14ac:dyDescent="0.25">
      <c r="A115" t="s">
        <v>96</v>
      </c>
      <c r="B115" s="26" t="s">
        <v>84</v>
      </c>
      <c r="C115" t="s">
        <v>93</v>
      </c>
      <c r="D115" t="str">
        <f t="shared" si="1"/>
        <v>S1</v>
      </c>
      <c r="E115">
        <v>4802</v>
      </c>
      <c r="F115">
        <v>41</v>
      </c>
      <c r="G115">
        <v>0.85</v>
      </c>
      <c r="H115">
        <v>104.36</v>
      </c>
      <c r="I115">
        <v>21.73</v>
      </c>
      <c r="J115">
        <v>2.5499999999999998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</v>
      </c>
      <c r="T115">
        <v>4</v>
      </c>
      <c r="U115">
        <v>7</v>
      </c>
      <c r="V115">
        <v>14.91</v>
      </c>
      <c r="W115">
        <v>0</v>
      </c>
      <c r="X115">
        <v>0</v>
      </c>
      <c r="Y115">
        <v>0</v>
      </c>
    </row>
    <row r="116" spans="1:25" customFormat="1" ht="14.4" x14ac:dyDescent="0.25">
      <c r="A116" t="s">
        <v>96</v>
      </c>
      <c r="B116" s="26" t="s">
        <v>71</v>
      </c>
      <c r="C116" t="s">
        <v>72</v>
      </c>
      <c r="D116" t="str">
        <f t="shared" si="1"/>
        <v>N3</v>
      </c>
      <c r="E116">
        <v>2848</v>
      </c>
      <c r="F116">
        <v>50</v>
      </c>
      <c r="G116">
        <v>1.76</v>
      </c>
      <c r="H116">
        <v>144.06</v>
      </c>
      <c r="I116">
        <v>50.58</v>
      </c>
      <c r="J116">
        <v>2.88</v>
      </c>
      <c r="K116">
        <v>2</v>
      </c>
      <c r="L116">
        <v>1471.4</v>
      </c>
      <c r="M116">
        <v>2</v>
      </c>
      <c r="N116">
        <v>1590</v>
      </c>
      <c r="O116">
        <v>4</v>
      </c>
      <c r="P116">
        <v>3061.4</v>
      </c>
      <c r="Q116">
        <v>0</v>
      </c>
      <c r="R116">
        <v>0</v>
      </c>
      <c r="S116">
        <v>17</v>
      </c>
      <c r="T116">
        <v>17</v>
      </c>
      <c r="U116">
        <v>34</v>
      </c>
      <c r="V116">
        <v>4.24</v>
      </c>
      <c r="W116">
        <v>8</v>
      </c>
      <c r="X116">
        <v>36.020000000000003</v>
      </c>
      <c r="Y116">
        <v>21.25</v>
      </c>
    </row>
    <row r="117" spans="1:25" customFormat="1" ht="14.4" x14ac:dyDescent="0.25">
      <c r="A117" t="s">
        <v>96</v>
      </c>
      <c r="B117" s="26" t="s">
        <v>75</v>
      </c>
      <c r="C117" t="s">
        <v>76</v>
      </c>
      <c r="D117" t="str">
        <f t="shared" si="1"/>
        <v>N2</v>
      </c>
      <c r="E117">
        <v>2259</v>
      </c>
      <c r="F117">
        <v>42</v>
      </c>
      <c r="G117">
        <v>1.86</v>
      </c>
      <c r="H117">
        <v>89.42</v>
      </c>
      <c r="I117">
        <v>39.58</v>
      </c>
      <c r="J117">
        <v>2.13</v>
      </c>
      <c r="K117">
        <v>0</v>
      </c>
      <c r="L117">
        <v>0</v>
      </c>
      <c r="M117">
        <v>1</v>
      </c>
      <c r="N117">
        <v>683</v>
      </c>
      <c r="O117">
        <v>1</v>
      </c>
      <c r="P117">
        <v>683</v>
      </c>
      <c r="Q117">
        <v>0</v>
      </c>
      <c r="R117">
        <v>0</v>
      </c>
      <c r="S117">
        <v>16</v>
      </c>
      <c r="T117">
        <v>11</v>
      </c>
      <c r="U117">
        <v>27</v>
      </c>
      <c r="V117">
        <v>3.31</v>
      </c>
      <c r="W117">
        <v>2.38</v>
      </c>
      <c r="X117">
        <v>89.42</v>
      </c>
      <c r="Y117">
        <v>7.64</v>
      </c>
    </row>
    <row r="118" spans="1:25" customFormat="1" ht="14.4" x14ac:dyDescent="0.25">
      <c r="A118" t="s">
        <v>96</v>
      </c>
      <c r="B118" s="26" t="s">
        <v>85</v>
      </c>
      <c r="C118" t="s">
        <v>86</v>
      </c>
      <c r="D118" t="str">
        <f t="shared" si="1"/>
        <v>S1</v>
      </c>
      <c r="E118">
        <v>1969</v>
      </c>
      <c r="F118">
        <v>19</v>
      </c>
      <c r="G118">
        <v>0.96</v>
      </c>
      <c r="H118">
        <v>77.12</v>
      </c>
      <c r="I118">
        <v>39.17</v>
      </c>
      <c r="J118">
        <v>4.0599999999999996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customFormat="1" ht="14.4" x14ac:dyDescent="0.25">
      <c r="A119" t="s">
        <v>96</v>
      </c>
      <c r="B119" s="26" t="s">
        <v>73</v>
      </c>
      <c r="C119" t="s">
        <v>74</v>
      </c>
      <c r="D119" t="str">
        <f t="shared" si="1"/>
        <v>N2</v>
      </c>
      <c r="E119">
        <v>1834</v>
      </c>
      <c r="F119">
        <v>46</v>
      </c>
      <c r="G119">
        <v>2.5099999999999998</v>
      </c>
      <c r="H119">
        <v>95.51</v>
      </c>
      <c r="I119">
        <v>52.08</v>
      </c>
      <c r="J119">
        <v>2.08</v>
      </c>
      <c r="K119">
        <v>0</v>
      </c>
      <c r="L119">
        <v>0</v>
      </c>
      <c r="M119">
        <v>4</v>
      </c>
      <c r="N119">
        <v>3088.19</v>
      </c>
      <c r="O119">
        <v>4</v>
      </c>
      <c r="P119">
        <v>3088.19</v>
      </c>
      <c r="Q119">
        <v>0</v>
      </c>
      <c r="R119">
        <v>0</v>
      </c>
      <c r="S119">
        <v>14</v>
      </c>
      <c r="T119">
        <v>6</v>
      </c>
      <c r="U119">
        <v>20</v>
      </c>
      <c r="V119">
        <v>4.78</v>
      </c>
      <c r="W119">
        <v>8.6999999999999993</v>
      </c>
      <c r="X119">
        <v>23.88</v>
      </c>
      <c r="Y119">
        <v>32.33</v>
      </c>
    </row>
    <row r="120" spans="1:25" customFormat="1" ht="14.4" x14ac:dyDescent="0.25">
      <c r="A120" t="s">
        <v>96</v>
      </c>
      <c r="B120" s="26" t="s">
        <v>87</v>
      </c>
      <c r="C120" t="s">
        <v>88</v>
      </c>
      <c r="D120" t="str">
        <f t="shared" si="1"/>
        <v>S1</v>
      </c>
      <c r="E120">
        <v>1313</v>
      </c>
      <c r="F120">
        <v>19</v>
      </c>
      <c r="G120">
        <v>1.45</v>
      </c>
      <c r="H120">
        <v>71.87</v>
      </c>
      <c r="I120">
        <v>54.74</v>
      </c>
      <c r="J120">
        <v>3.78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</v>
      </c>
      <c r="T120">
        <v>1</v>
      </c>
      <c r="U120">
        <v>7</v>
      </c>
      <c r="V120">
        <v>10.27</v>
      </c>
      <c r="W120">
        <v>0</v>
      </c>
      <c r="X120">
        <v>0</v>
      </c>
      <c r="Y120">
        <v>0</v>
      </c>
    </row>
    <row r="121" spans="1:25" customFormat="1" ht="14.4" x14ac:dyDescent="0.25">
      <c r="A121" t="s">
        <v>96</v>
      </c>
      <c r="B121" s="26" t="s">
        <v>77</v>
      </c>
      <c r="C121" t="s">
        <v>78</v>
      </c>
      <c r="D121" t="str">
        <f t="shared" si="1"/>
        <v>N1</v>
      </c>
      <c r="E121">
        <v>1021</v>
      </c>
      <c r="F121">
        <v>11</v>
      </c>
      <c r="G121">
        <v>1.08</v>
      </c>
      <c r="H121">
        <v>46.67</v>
      </c>
      <c r="I121">
        <v>45.71</v>
      </c>
      <c r="J121">
        <v>4.24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</v>
      </c>
      <c r="T121">
        <v>2</v>
      </c>
      <c r="U121">
        <v>5</v>
      </c>
      <c r="V121">
        <v>9.33</v>
      </c>
      <c r="W121">
        <v>0</v>
      </c>
      <c r="X121">
        <v>0</v>
      </c>
      <c r="Y121">
        <v>0</v>
      </c>
    </row>
    <row r="122" spans="1:25" customFormat="1" ht="14.4" x14ac:dyDescent="0.25">
      <c r="A122" t="s">
        <v>96</v>
      </c>
      <c r="B122" s="26" t="s">
        <v>82</v>
      </c>
      <c r="C122" t="s">
        <v>83</v>
      </c>
      <c r="D122" t="str">
        <f t="shared" si="1"/>
        <v>N1</v>
      </c>
      <c r="E122">
        <v>812</v>
      </c>
      <c r="F122">
        <v>7</v>
      </c>
      <c r="G122">
        <v>0.86</v>
      </c>
      <c r="H122">
        <v>24.64</v>
      </c>
      <c r="I122">
        <v>30.34</v>
      </c>
      <c r="J122">
        <v>3.52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1</v>
      </c>
      <c r="V122">
        <v>24.64</v>
      </c>
      <c r="W122">
        <v>0</v>
      </c>
      <c r="X122">
        <v>0</v>
      </c>
      <c r="Y122">
        <v>0</v>
      </c>
    </row>
    <row r="123" spans="1:25" customFormat="1" ht="14.4" x14ac:dyDescent="0.25">
      <c r="A123" t="s">
        <v>96</v>
      </c>
      <c r="B123" s="26" t="s">
        <v>79</v>
      </c>
      <c r="C123" t="s">
        <v>80</v>
      </c>
      <c r="D123" t="str">
        <f t="shared" si="1"/>
        <v>N1</v>
      </c>
      <c r="E123">
        <v>563</v>
      </c>
      <c r="F123">
        <v>8</v>
      </c>
      <c r="G123">
        <v>1.42</v>
      </c>
      <c r="H123">
        <v>16.149999999999999</v>
      </c>
      <c r="I123">
        <v>28.69</v>
      </c>
      <c r="J123">
        <v>2.02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6</v>
      </c>
      <c r="U123">
        <v>7</v>
      </c>
      <c r="V123">
        <v>2.31</v>
      </c>
      <c r="W123">
        <v>0</v>
      </c>
      <c r="X123">
        <v>0</v>
      </c>
      <c r="Y123">
        <v>0</v>
      </c>
    </row>
  </sheetData>
  <autoFilter ref="A1:AF123" xr:uid="{00000000-0009-0000-0000-000001000000}"/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透视汇总表</vt:lpstr>
      <vt:lpstr>明细表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15765</dc:creator>
  <cp:lastModifiedBy>楠翔 盛</cp:lastModifiedBy>
  <dcterms:created xsi:type="dcterms:W3CDTF">2026-10-26T06:47:00Z</dcterms:created>
  <dcterms:modified xsi:type="dcterms:W3CDTF">2026-10-26T10:23:34Z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278450CDB5664A1B869E06723D928163_11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