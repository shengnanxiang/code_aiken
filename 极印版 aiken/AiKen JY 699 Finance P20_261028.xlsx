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a22fe4ae455d837/01 汉图/03 产品/06 Aiken/05. JY SI^MDO/"/>
    </mc:Choice>
  </mc:AlternateContent>
  <xr:revisionPtr revIDLastSave="31" documentId="8_{8B37C10D-1E32-4E74-AFBA-06905616AAB3}" xr6:coauthVersionLast="47" xr6:coauthVersionMax="47" xr10:uidLastSave="{4334037A-7E30-41D1-B789-C7AD69CCA904}"/>
  <bookViews>
    <workbookView xWindow="-23148" yWindow="-108" windowWidth="23256" windowHeight="12456" tabRatio="787" activeTab="5" xr2:uid="{00000000-000D-0000-FFFF-FFFF00000000}"/>
  </bookViews>
  <sheets>
    <sheet name="Budget" sheetId="15" r:id="rId1"/>
    <sheet name="BOM&amp;ASP" sheetId="4" r:id="rId2"/>
    <sheet name="分位表" sheetId="23" r:id="rId3"/>
    <sheet name="Scenarios" sheetId="6" r:id="rId4"/>
    <sheet name="财务读数" sheetId="24" r:id="rId5"/>
    <sheet name="Normal Secnario" sheetId="2" r:id="rId6"/>
    <sheet name="Best Secnario" sheetId="20" r:id="rId7"/>
    <sheet name="Worst Secnario" sheetId="19" r:id="rId8"/>
    <sheet name="销量概率分布说明" sheetId="22" r:id="rId9"/>
    <sheet name="RCF数值" sheetId="2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5" l="1"/>
  <c r="H12" i="15"/>
  <c r="H14" i="15" s="1"/>
  <c r="F5" i="19"/>
  <c r="F5" i="20"/>
  <c r="F5" i="2"/>
  <c r="C10" i="4"/>
  <c r="F22" i="19" l="1"/>
  <c r="G22" i="19" s="1"/>
  <c r="N5" i="19" s="1"/>
  <c r="F22" i="20"/>
  <c r="F22" i="2"/>
  <c r="C22" i="6"/>
  <c r="C22" i="19" s="1"/>
  <c r="C21" i="6"/>
  <c r="C21" i="19" s="1"/>
  <c r="C20" i="6"/>
  <c r="C20" i="19" s="1"/>
  <c r="C13" i="6"/>
  <c r="C21" i="20" s="1"/>
  <c r="C14" i="6"/>
  <c r="C22" i="20" s="1"/>
  <c r="C12" i="6"/>
  <c r="C20" i="20" s="1"/>
  <c r="C5" i="6"/>
  <c r="C6" i="6"/>
  <c r="C22" i="2" s="1"/>
  <c r="J27" i="2" s="1"/>
  <c r="K27" i="2" s="1"/>
  <c r="C4" i="6"/>
  <c r="C8" i="20"/>
  <c r="C16" i="19"/>
  <c r="J6" i="19" s="1"/>
  <c r="K6" i="19" s="1"/>
  <c r="K14" i="19"/>
  <c r="J14" i="19"/>
  <c r="I14" i="19"/>
  <c r="H14" i="19"/>
  <c r="G14" i="19"/>
  <c r="K12" i="19"/>
  <c r="I12" i="19"/>
  <c r="G12" i="19"/>
  <c r="K11" i="19"/>
  <c r="J11" i="19"/>
  <c r="I11" i="19"/>
  <c r="H11" i="19"/>
  <c r="G11" i="19"/>
  <c r="F11" i="19"/>
  <c r="K10" i="19"/>
  <c r="J10" i="19"/>
  <c r="I10" i="19"/>
  <c r="H10" i="19"/>
  <c r="G10" i="19"/>
  <c r="K9" i="19"/>
  <c r="J9" i="19"/>
  <c r="I9" i="19"/>
  <c r="H9" i="19"/>
  <c r="G9" i="19"/>
  <c r="K8" i="19"/>
  <c r="I8" i="19"/>
  <c r="K7" i="19"/>
  <c r="I7" i="19"/>
  <c r="C7" i="19"/>
  <c r="C6" i="19"/>
  <c r="C5" i="19"/>
  <c r="C4" i="19"/>
  <c r="C3" i="19"/>
  <c r="C16" i="20"/>
  <c r="J6" i="20" s="1"/>
  <c r="K6" i="20" s="1"/>
  <c r="K14" i="20"/>
  <c r="J14" i="20"/>
  <c r="I14" i="20"/>
  <c r="H14" i="20"/>
  <c r="G14" i="20"/>
  <c r="K12" i="20"/>
  <c r="I12" i="20"/>
  <c r="G12" i="20"/>
  <c r="K11" i="20"/>
  <c r="J11" i="20"/>
  <c r="I11" i="20"/>
  <c r="H11" i="20"/>
  <c r="G11" i="20"/>
  <c r="F11" i="20"/>
  <c r="K10" i="20"/>
  <c r="J10" i="20"/>
  <c r="I10" i="20"/>
  <c r="H10" i="20"/>
  <c r="G10" i="20"/>
  <c r="K9" i="20"/>
  <c r="J9" i="20"/>
  <c r="I9" i="20"/>
  <c r="H9" i="20"/>
  <c r="G9" i="20"/>
  <c r="K8" i="20"/>
  <c r="I8" i="20"/>
  <c r="K7" i="20"/>
  <c r="I7" i="20"/>
  <c r="C7" i="20"/>
  <c r="C6" i="20"/>
  <c r="C5" i="20"/>
  <c r="C4" i="20"/>
  <c r="C3" i="20"/>
  <c r="C16" i="2"/>
  <c r="H6" i="2" s="1"/>
  <c r="I6" i="2" s="1"/>
  <c r="K14" i="2"/>
  <c r="J14" i="2"/>
  <c r="I14" i="2"/>
  <c r="H14" i="2"/>
  <c r="G14" i="2"/>
  <c r="K12" i="2"/>
  <c r="I12" i="2"/>
  <c r="G12" i="2"/>
  <c r="K11" i="2"/>
  <c r="J11" i="2"/>
  <c r="I11" i="2"/>
  <c r="H11" i="2"/>
  <c r="G11" i="2"/>
  <c r="F11" i="2"/>
  <c r="K10" i="2"/>
  <c r="J10" i="2"/>
  <c r="I10" i="2"/>
  <c r="H10" i="2"/>
  <c r="G10" i="2"/>
  <c r="K9" i="2"/>
  <c r="J9" i="2"/>
  <c r="I9" i="2"/>
  <c r="H9" i="2"/>
  <c r="G9" i="2"/>
  <c r="K8" i="2"/>
  <c r="I8" i="2"/>
  <c r="K7" i="2"/>
  <c r="I7" i="2"/>
  <c r="C7" i="2"/>
  <c r="C6" i="2"/>
  <c r="C5" i="2"/>
  <c r="C4" i="2"/>
  <c r="C3" i="2"/>
  <c r="D92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58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26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H9" i="15"/>
  <c r="D9" i="15"/>
  <c r="D8" i="15"/>
  <c r="D7" i="15"/>
  <c r="D6" i="15"/>
  <c r="D5" i="15"/>
  <c r="D4" i="15"/>
  <c r="D3" i="15"/>
  <c r="D3" i="4"/>
  <c r="C20" i="2" l="1"/>
  <c r="C7" i="6"/>
  <c r="D10" i="4"/>
  <c r="C23" i="6"/>
  <c r="J27" i="19"/>
  <c r="K27" i="19" s="1"/>
  <c r="J27" i="20"/>
  <c r="K27" i="20" s="1"/>
  <c r="H27" i="19"/>
  <c r="I27" i="19" s="1"/>
  <c r="C21" i="2"/>
  <c r="H27" i="2" s="1"/>
  <c r="I27" i="2" s="1"/>
  <c r="H27" i="20"/>
  <c r="I27" i="20" s="1"/>
  <c r="C15" i="6"/>
  <c r="F6" i="19"/>
  <c r="G6" i="19" s="1"/>
  <c r="H6" i="19"/>
  <c r="I6" i="19" s="1"/>
  <c r="F6" i="2"/>
  <c r="G6" i="2" s="1"/>
  <c r="J6" i="2"/>
  <c r="K6" i="2" s="1"/>
  <c r="H6" i="20"/>
  <c r="I6" i="20" s="1"/>
  <c r="F6" i="20"/>
  <c r="G6" i="20" s="1"/>
  <c r="C9" i="20"/>
  <c r="F8" i="20" s="1"/>
  <c r="H22" i="19"/>
  <c r="J22" i="19" s="1"/>
  <c r="F20" i="19"/>
  <c r="C8" i="2"/>
  <c r="C9" i="2" s="1"/>
  <c r="C8" i="19"/>
  <c r="C9" i="19" s="1"/>
  <c r="F8" i="19" s="1"/>
  <c r="F7" i="19"/>
  <c r="F27" i="19"/>
  <c r="F28" i="19" s="1"/>
  <c r="N9" i="20"/>
  <c r="F7" i="20"/>
  <c r="F27" i="20"/>
  <c r="N9" i="19"/>
  <c r="F8" i="2" l="1"/>
  <c r="G8" i="2" s="1"/>
  <c r="F27" i="2"/>
  <c r="G27" i="2" s="1"/>
  <c r="F7" i="2"/>
  <c r="G7" i="2" s="1"/>
  <c r="G20" i="19"/>
  <c r="F20" i="20"/>
  <c r="G22" i="20"/>
  <c r="N5" i="20" s="1"/>
  <c r="H22" i="20"/>
  <c r="N15" i="19"/>
  <c r="G8" i="19"/>
  <c r="N15" i="20"/>
  <c r="G8" i="20"/>
  <c r="N15" i="2"/>
  <c r="N9" i="2"/>
  <c r="G7" i="19"/>
  <c r="J28" i="19"/>
  <c r="H28" i="19"/>
  <c r="K22" i="19"/>
  <c r="K28" i="19" s="1"/>
  <c r="J20" i="19"/>
  <c r="K20" i="19" s="1"/>
  <c r="I22" i="19"/>
  <c r="I28" i="19" s="1"/>
  <c r="H20" i="19"/>
  <c r="G27" i="19"/>
  <c r="G28" i="19" s="1"/>
  <c r="G27" i="20"/>
  <c r="F28" i="20"/>
  <c r="G7" i="20"/>
  <c r="G20" i="20" l="1"/>
  <c r="I20" i="19"/>
  <c r="M20" i="19"/>
  <c r="G28" i="20"/>
  <c r="J22" i="20"/>
  <c r="H20" i="20"/>
  <c r="I22" i="20"/>
  <c r="I28" i="20" s="1"/>
  <c r="H28" i="20"/>
  <c r="N10" i="19"/>
  <c r="F18" i="19"/>
  <c r="G18" i="19" s="1"/>
  <c r="F23" i="20"/>
  <c r="F24" i="20" s="1"/>
  <c r="I20" i="20" l="1"/>
  <c r="K22" i="20"/>
  <c r="K28" i="20" s="1"/>
  <c r="N10" i="20" s="1"/>
  <c r="J20" i="20"/>
  <c r="J28" i="20"/>
  <c r="F13" i="19"/>
  <c r="G13" i="19" s="1"/>
  <c r="H5" i="19"/>
  <c r="F23" i="19"/>
  <c r="F24" i="19" s="1"/>
  <c r="G5" i="19"/>
  <c r="G23" i="19" s="1"/>
  <c r="C28" i="19"/>
  <c r="J15" i="19" s="1"/>
  <c r="F13" i="20"/>
  <c r="G13" i="20" s="1"/>
  <c r="F18" i="20"/>
  <c r="G18" i="20" s="1"/>
  <c r="C28" i="2"/>
  <c r="J15" i="2" s="1"/>
  <c r="F18" i="2"/>
  <c r="G18" i="2" s="1"/>
  <c r="G5" i="2"/>
  <c r="N7" i="2" s="1"/>
  <c r="C28" i="20"/>
  <c r="J15" i="20" s="1"/>
  <c r="G5" i="20"/>
  <c r="G23" i="20" s="1"/>
  <c r="H5" i="20"/>
  <c r="H13" i="20" s="1"/>
  <c r="I13" i="20" s="1"/>
  <c r="H5" i="2"/>
  <c r="H18" i="2" s="1"/>
  <c r="I18" i="2" s="1"/>
  <c r="F13" i="2"/>
  <c r="G13" i="2" s="1"/>
  <c r="K20" i="20" l="1"/>
  <c r="M20" i="20"/>
  <c r="J5" i="19"/>
  <c r="H13" i="19"/>
  <c r="I13" i="19" s="1"/>
  <c r="H18" i="19"/>
  <c r="I18" i="19" s="1"/>
  <c r="H23" i="19"/>
  <c r="H24" i="19" s="1"/>
  <c r="I5" i="19"/>
  <c r="I23" i="19" s="1"/>
  <c r="I24" i="19" s="1"/>
  <c r="N7" i="19"/>
  <c r="N6" i="19" s="1"/>
  <c r="H23" i="20"/>
  <c r="H24" i="20" s="1"/>
  <c r="F15" i="19"/>
  <c r="H15" i="19"/>
  <c r="I15" i="19" s="1"/>
  <c r="I16" i="19" s="1"/>
  <c r="F15" i="20"/>
  <c r="F16" i="20" s="1"/>
  <c r="F21" i="20" s="1"/>
  <c r="F25" i="20" s="1"/>
  <c r="H18" i="20"/>
  <c r="I18" i="20" s="1"/>
  <c r="I5" i="20"/>
  <c r="I23" i="20" s="1"/>
  <c r="I24" i="20" s="1"/>
  <c r="J5" i="20"/>
  <c r="J23" i="20" s="1"/>
  <c r="J24" i="20" s="1"/>
  <c r="F15" i="2"/>
  <c r="G15" i="2" s="1"/>
  <c r="G16" i="2" s="1"/>
  <c r="H15" i="2"/>
  <c r="H16" i="2" s="1"/>
  <c r="N7" i="20"/>
  <c r="N6" i="20" s="1"/>
  <c r="H15" i="20"/>
  <c r="H16" i="20" s="1"/>
  <c r="J5" i="2"/>
  <c r="I5" i="2"/>
  <c r="H13" i="2"/>
  <c r="I13" i="2" s="1"/>
  <c r="G24" i="20"/>
  <c r="G24" i="19"/>
  <c r="K15" i="19"/>
  <c r="K16" i="19" s="1"/>
  <c r="J16" i="19"/>
  <c r="J16" i="20"/>
  <c r="K15" i="20"/>
  <c r="K16" i="20" s="1"/>
  <c r="K15" i="2"/>
  <c r="K16" i="2" s="1"/>
  <c r="J16" i="2"/>
  <c r="I21" i="19" l="1"/>
  <c r="I25" i="19" s="1"/>
  <c r="H21" i="20"/>
  <c r="H25" i="20" s="1"/>
  <c r="J18" i="19"/>
  <c r="K18" i="19" s="1"/>
  <c r="K5" i="19"/>
  <c r="J23" i="19"/>
  <c r="J24" i="19" s="1"/>
  <c r="J13" i="19"/>
  <c r="G15" i="19"/>
  <c r="G16" i="19" s="1"/>
  <c r="G21" i="19" s="1"/>
  <c r="G25" i="19" s="1"/>
  <c r="F16" i="19"/>
  <c r="F21" i="19" s="1"/>
  <c r="F25" i="19" s="1"/>
  <c r="K5" i="2"/>
  <c r="J13" i="2"/>
  <c r="K13" i="2" s="1"/>
  <c r="J13" i="20"/>
  <c r="K13" i="20" s="1"/>
  <c r="H16" i="19"/>
  <c r="H21" i="19" s="1"/>
  <c r="H25" i="19" s="1"/>
  <c r="J18" i="20"/>
  <c r="K18" i="20" s="1"/>
  <c r="K5" i="20"/>
  <c r="K23" i="20" s="1"/>
  <c r="K24" i="20" s="1"/>
  <c r="F16" i="2"/>
  <c r="G15" i="20"/>
  <c r="G16" i="20" s="1"/>
  <c r="G21" i="20" s="1"/>
  <c r="G25" i="20" s="1"/>
  <c r="G26" i="20" s="1"/>
  <c r="J18" i="2"/>
  <c r="K18" i="2" s="1"/>
  <c r="I15" i="2"/>
  <c r="I16" i="2" s="1"/>
  <c r="I15" i="20"/>
  <c r="I16" i="20" s="1"/>
  <c r="I21" i="20" s="1"/>
  <c r="I25" i="20" s="1"/>
  <c r="I29" i="20" s="1"/>
  <c r="F26" i="20"/>
  <c r="F29" i="20"/>
  <c r="I29" i="19" l="1"/>
  <c r="I26" i="19"/>
  <c r="H29" i="20"/>
  <c r="H26" i="20"/>
  <c r="K23" i="19"/>
  <c r="K13" i="19"/>
  <c r="K21" i="19" s="1"/>
  <c r="K25" i="19" s="1"/>
  <c r="J21" i="19"/>
  <c r="J25" i="19" s="1"/>
  <c r="G29" i="19"/>
  <c r="G26" i="19"/>
  <c r="F29" i="19"/>
  <c r="F26" i="19"/>
  <c r="H29" i="19"/>
  <c r="H26" i="19"/>
  <c r="G29" i="20"/>
  <c r="J21" i="20"/>
  <c r="J25" i="20" s="1"/>
  <c r="K21" i="20"/>
  <c r="K25" i="20" s="1"/>
  <c r="I26" i="20"/>
  <c r="N11" i="20"/>
  <c r="N12" i="20" s="1"/>
  <c r="K26" i="19" l="1"/>
  <c r="K29" i="19"/>
  <c r="N13" i="19" s="1"/>
  <c r="K24" i="19"/>
  <c r="N11" i="19"/>
  <c r="N12" i="19" s="1"/>
  <c r="J29" i="19"/>
  <c r="J26" i="19"/>
  <c r="J26" i="20"/>
  <c r="J29" i="20"/>
  <c r="K26" i="20"/>
  <c r="K29" i="20"/>
  <c r="N13" i="20" s="1"/>
  <c r="N16" i="19" l="1"/>
  <c r="N14" i="19"/>
  <c r="N14" i="20"/>
  <c r="N16" i="20"/>
  <c r="F20" i="2"/>
  <c r="H22" i="2"/>
  <c r="G22" i="2"/>
  <c r="G23" i="2" s="1"/>
  <c r="G24" i="2" s="1"/>
  <c r="F28" i="2"/>
  <c r="F23" i="2"/>
  <c r="F24" i="2" s="1"/>
  <c r="G20" i="2" l="1"/>
  <c r="G21" i="2" s="1"/>
  <c r="G25" i="2" s="1"/>
  <c r="F21" i="2"/>
  <c r="F25" i="2" s="1"/>
  <c r="H23" i="2"/>
  <c r="H24" i="2" s="1"/>
  <c r="H20" i="2"/>
  <c r="J22" i="2"/>
  <c r="I22" i="2"/>
  <c r="H28" i="2"/>
  <c r="N5" i="2"/>
  <c r="N6" i="2" s="1"/>
  <c r="G28" i="2"/>
  <c r="F26" i="2" l="1"/>
  <c r="F29" i="2"/>
  <c r="I20" i="2"/>
  <c r="I21" i="2" s="1"/>
  <c r="I25" i="2" s="1"/>
  <c r="H21" i="2"/>
  <c r="H25" i="2" s="1"/>
  <c r="G26" i="2"/>
  <c r="G29" i="2"/>
  <c r="K22" i="2"/>
  <c r="J23" i="2"/>
  <c r="J24" i="2" s="1"/>
  <c r="J28" i="2"/>
  <c r="J20" i="2"/>
  <c r="M20" i="2" s="1"/>
  <c r="I23" i="2"/>
  <c r="I28" i="2"/>
  <c r="H29" i="2" l="1"/>
  <c r="H26" i="2"/>
  <c r="K23" i="2"/>
  <c r="K28" i="2"/>
  <c r="N10" i="2" s="1"/>
  <c r="J21" i="2"/>
  <c r="J25" i="2" s="1"/>
  <c r="K20" i="2"/>
  <c r="K21" i="2" s="1"/>
  <c r="K25" i="2" s="1"/>
  <c r="I29" i="2"/>
  <c r="I26" i="2"/>
  <c r="I24" i="2"/>
  <c r="K26" i="2" l="1"/>
  <c r="K29" i="2"/>
  <c r="N13" i="2" s="1"/>
  <c r="J29" i="2"/>
  <c r="J26" i="2"/>
  <c r="K24" i="2"/>
  <c r="N11" i="2"/>
  <c r="N12" i="2" s="1"/>
  <c r="N16" i="2" l="1"/>
  <c r="N14" i="2"/>
</calcChain>
</file>

<file path=xl/sharedStrings.xml><?xml version="1.0" encoding="utf-8"?>
<sst xmlns="http://schemas.openxmlformats.org/spreadsheetml/2006/main" count="598" uniqueCount="242">
  <si>
    <t>备注</t>
  </si>
  <si>
    <t>品号</t>
  </si>
  <si>
    <t>NPI Program Items</t>
  </si>
  <si>
    <t>项目名称</t>
  </si>
  <si>
    <t>品牌名称</t>
  </si>
  <si>
    <t>RD-001</t>
  </si>
  <si>
    <t>样品费用</t>
  </si>
  <si>
    <t>Xiaomi</t>
  </si>
  <si>
    <t>模具</t>
  </si>
  <si>
    <t>RD-002</t>
  </si>
  <si>
    <t>测试费用</t>
  </si>
  <si>
    <t>治具</t>
  </si>
  <si>
    <t>RD-003</t>
  </si>
  <si>
    <t>NPI试产样机费用</t>
  </si>
  <si>
    <t>研发NRE</t>
  </si>
  <si>
    <t>RD-004</t>
  </si>
  <si>
    <t>NPI试产服务费用</t>
  </si>
  <si>
    <t>测试+其它</t>
  </si>
  <si>
    <t>RD-005</t>
  </si>
  <si>
    <t>试验模具治具</t>
  </si>
  <si>
    <t>认证</t>
  </si>
  <si>
    <t>RD-006</t>
  </si>
  <si>
    <t>技术服务（委托研发）</t>
  </si>
  <si>
    <t>人力</t>
  </si>
  <si>
    <t>RD-007</t>
  </si>
  <si>
    <t>软件（研发）</t>
  </si>
  <si>
    <t>汇总</t>
  </si>
  <si>
    <t>RD-008</t>
  </si>
  <si>
    <t>咨询服务</t>
  </si>
  <si>
    <t>RD-009</t>
  </si>
  <si>
    <t>人力资源服务</t>
  </si>
  <si>
    <t>RD-011</t>
  </si>
  <si>
    <t>研发测试用耗材</t>
  </si>
  <si>
    <t>ZC-1202</t>
  </si>
  <si>
    <t>生产模具</t>
  </si>
  <si>
    <t>生产治具</t>
  </si>
  <si>
    <t>ZC-1299</t>
  </si>
  <si>
    <t>其他生产设备</t>
  </si>
  <si>
    <t>ZC-1301</t>
  </si>
  <si>
    <t>办公计算机设备</t>
  </si>
  <si>
    <t>ZC-1302</t>
  </si>
  <si>
    <t>办公测试设备</t>
  </si>
  <si>
    <t>ZC-2201</t>
  </si>
  <si>
    <t>研发工具</t>
  </si>
  <si>
    <t>Travel-P</t>
  </si>
  <si>
    <t>项目差旅费用</t>
  </si>
  <si>
    <t>Logistics-P</t>
  </si>
  <si>
    <t>物流费用</t>
  </si>
  <si>
    <t>RCOW-P</t>
  </si>
  <si>
    <t>项目人力费用</t>
  </si>
  <si>
    <t>TB-P</t>
  </si>
  <si>
    <t>项目组团建费用</t>
  </si>
  <si>
    <t>Monthly Total</t>
  </si>
  <si>
    <t>Investment Total</t>
  </si>
  <si>
    <t>Ricotta-P 国内</t>
  </si>
  <si>
    <t>Ricotta-P 海外</t>
  </si>
  <si>
    <t>第一年</t>
  </si>
  <si>
    <t>第二年</t>
  </si>
  <si>
    <t>第三年</t>
  </si>
  <si>
    <t>合计</t>
  </si>
  <si>
    <t>线上渠道比例</t>
  </si>
  <si>
    <t>线上渠道折扣</t>
  </si>
  <si>
    <t>线下渠道比例</t>
  </si>
  <si>
    <t>线下渠道折扣</t>
  </si>
  <si>
    <t>AiKen Normal Scenario</t>
  </si>
  <si>
    <t>YEAR 1</t>
  </si>
  <si>
    <t>YEAR 2</t>
  </si>
  <si>
    <t>YEAR 3</t>
  </si>
  <si>
    <t>含税</t>
  </si>
  <si>
    <t>不含税</t>
  </si>
  <si>
    <t>主机（不含税）</t>
  </si>
  <si>
    <t>研发NRE (含CCOW)</t>
  </si>
  <si>
    <t>MPC（出厂价）</t>
  </si>
  <si>
    <t>Hannto零售价</t>
  </si>
  <si>
    <t>测试</t>
  </si>
  <si>
    <t>Royalty, License, Usage/unit</t>
  </si>
  <si>
    <t>Hannto毛利率</t>
  </si>
  <si>
    <t>模具治具摊销/unit</t>
  </si>
  <si>
    <t>MPC</t>
  </si>
  <si>
    <t>其他</t>
  </si>
  <si>
    <t>研发费用摊销/unit</t>
  </si>
  <si>
    <t>CPU</t>
  </si>
  <si>
    <t>研发费用汇总</t>
  </si>
  <si>
    <t>物流（工厂到仓库）/unit</t>
  </si>
  <si>
    <t>Volumn （3years)</t>
  </si>
  <si>
    <t>物流（仓库到用户）/unit</t>
  </si>
  <si>
    <t>Revenue</t>
  </si>
  <si>
    <t>Royalty（Airprint)</t>
  </si>
  <si>
    <t>Logistics Cost</t>
  </si>
  <si>
    <t>GM</t>
  </si>
  <si>
    <t>Royalty（GGS)</t>
  </si>
  <si>
    <t>汉图MOH比例</t>
  </si>
  <si>
    <t>GM%</t>
  </si>
  <si>
    <t>Royalty（Adobe)</t>
  </si>
  <si>
    <t>汉图MOH</t>
  </si>
  <si>
    <t>Profit</t>
  </si>
  <si>
    <t>Royalty（WPS)</t>
  </si>
  <si>
    <t>返修率</t>
  </si>
  <si>
    <t>Profit %</t>
  </si>
  <si>
    <t>Royalty (Others)</t>
  </si>
  <si>
    <t>返修费用</t>
  </si>
  <si>
    <t>Investment</t>
  </si>
  <si>
    <t>Royalty (Total)</t>
  </si>
  <si>
    <t>Service Cost</t>
  </si>
  <si>
    <t>ROI</t>
  </si>
  <si>
    <t>OS</t>
  </si>
  <si>
    <t>资金成本率</t>
  </si>
  <si>
    <t>资金成本</t>
  </si>
  <si>
    <t>生态链单机</t>
  </si>
  <si>
    <t>销售费用%</t>
  </si>
  <si>
    <t>第一年销量（国内）</t>
  </si>
  <si>
    <t>销售费用/unit</t>
  </si>
  <si>
    <t>第二年销量（国内）</t>
  </si>
  <si>
    <t>Total COS</t>
  </si>
  <si>
    <t>第三年销量（国内）</t>
  </si>
  <si>
    <t>毛利/unit（含税）</t>
  </si>
  <si>
    <t>第一年销量（海外）</t>
  </si>
  <si>
    <t>毛利率</t>
  </si>
  <si>
    <t>第二年销量（海外）</t>
  </si>
  <si>
    <t>净利/unit（含税）</t>
  </si>
  <si>
    <t>第三年销量（海外）</t>
  </si>
  <si>
    <t>净利率</t>
  </si>
  <si>
    <t>Volumn</t>
  </si>
  <si>
    <t>返修成本HW（含税）</t>
  </si>
  <si>
    <t>总收入</t>
  </si>
  <si>
    <t>总净利</t>
  </si>
  <si>
    <t xml:space="preserve"> </t>
  </si>
  <si>
    <t>AiKen Best Scenario</t>
  </si>
  <si>
    <t>AiKen Worst Scenario</t>
  </si>
  <si>
    <t>年销</t>
    <phoneticPr fontId="33" type="noConversion"/>
  </si>
  <si>
    <t>月销</t>
    <phoneticPr fontId="33" type="noConversion"/>
  </si>
  <si>
    <t>Best</t>
    <phoneticPr fontId="33" type="noConversion"/>
  </si>
  <si>
    <t>Worst</t>
    <phoneticPr fontId="33" type="noConversion"/>
  </si>
  <si>
    <t>Normal</t>
    <phoneticPr fontId="33" type="noConversion"/>
  </si>
  <si>
    <t>零售价</t>
    <phoneticPr fontId="33" type="noConversion"/>
  </si>
  <si>
    <t>扣除渠道后ASP</t>
    <phoneticPr fontId="33" type="noConversion"/>
  </si>
  <si>
    <t>收入</t>
    <phoneticPr fontId="33" type="noConversion"/>
  </si>
  <si>
    <t>右侧为沉没成本</t>
    <phoneticPr fontId="33" type="noConversion"/>
  </si>
  <si>
    <t>AiKen 销量概率分布 · 读数表</t>
  </si>
  <si>
    <t>这个分布是什么？</t>
  </si>
  <si>
    <t>8,000 次模拟得到的「首年（或三年累计）销量」的全集。每次模拟 = 从参照类先验区间随机抽一组 (m·p·q) 跑一条 Bass 曲线。它不是正态分布——右尾更长（小概率卖出非常多），形状类似对数正态。</t>
  </si>
  <si>
    <t>横轴 / 纵轴各是什么？</t>
  </si>
  <si>
    <t>横轴 = 销量（台）；纵轴 = 概率密度（落在这个销量区间的模拟次数占比）。曲线下总面积 = 100%。</t>
  </si>
  <si>
    <t>P5 / P50 / P95 是什么？</t>
  </si>
  <si>
    <t>分位数。P50 = 中位数：一半的模拟结果比它高、一半比它低（最可能的单点读数）。P5 = 只有 5% 的模拟比它更差（悲观边界）；P95 = 只有 5% 的模拟比它更好（乐观边界）。P5–P95 之间覆盖了 90% 的可能性，即「大概率区间」。</t>
  </si>
  <si>
    <t>怎么读「达到某销量对应多少概率」？</t>
  </si>
  <si>
    <t>两种读法：① 找分位表中第一个 ≥ 该销量的行，其概率列即答案（近似）；② 直接查「关键概率」表——如 P(首年 ≥ 3.6万) 表示 8,000 次模拟中销量 ≥ 36,000 台的次数占比。注意：分位表给的是「多少分位对应多少销量」，关键概率表给的是「多少销量对应多少概率」，两者互为反查。</t>
  </si>
  <si>
    <t>和三档场景（Worst/Normal/Best）什么关系？</t>
  </si>
  <si>
    <t>三档场景 = 分布上的分位锚，不是预测点：Worst（月销500→年6000）≈ P1 以下；Normal（月销1000→年1.2万）≈ P1；Best（月销3000→年3.6万）≈ P75。三档供供应链与财务执行使用；全分布才是决策工具（详见方法论说明页）。</t>
  </si>
  <si>
    <t>为什么首年 P50（2.86万）比会议 Normal（1.2万）高？</t>
  </si>
  <si>
    <t>主要差异来自媒介预算假设：模型按上市前 6 个月 120–280 万投放测算（P50≈202万），而会议 Normal 按 2% 销售费用折算全年仅约 14 万。校准会已确认 2% 不够——预算口径待市场部确认后重跑 v0.3。</t>
  </si>
  <si>
    <t>读数示例</t>
  </si>
  <si>
    <t>「首年销量 P50 = 28,600 台」→ 一半的可能性卖得比它多；「P(首年 ≥ 36,000) = 25.8%」→ 约四分之一的概率达到 Best 档；「三年累计 P95 = 158,000 台」→ 20 次里约有 1 次三年卖过 15.8 万台。</t>
    <phoneticPr fontId="33" type="noConversion"/>
  </si>
  <si>
    <t>销量分位表 · 首年 &amp; 三年累计</t>
  </si>
  <si>
    <t>分位 P(x)</t>
  </si>
  <si>
    <t>首年销量（台）</t>
  </si>
  <si>
    <t>首年销量（万台）</t>
  </si>
  <si>
    <t>首年 ≥ 该销量的概率</t>
  </si>
  <si>
    <t>三年累计（台）</t>
  </si>
  <si>
    <t>三年累计（万台）</t>
  </si>
  <si>
    <t>三年 ≥ 该销量的概率</t>
  </si>
  <si>
    <t>P5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</si>
  <si>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</si>
  <si>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</si>
  <si>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</si>
  <si>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</si>
  <si>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</si>
  <si>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</si>
  <si>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</si>
  <si>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</si>
  <si>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</si>
  <si>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</si>
  <si>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</si>
  <si>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</si>
  <si>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</si>
  <si>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</si>
  <si>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</si>
  <si>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</si>
  <si>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</si>
  <si>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P95</t>
  </si>
  <si>
    <t>线上官旗比例</t>
    <phoneticPr fontId="33" type="noConversion"/>
  </si>
  <si>
    <t>线上官旗折扣</t>
    <phoneticPr fontId="33" type="noConversion"/>
  </si>
  <si>
    <t>模型 v0.3 · 8,000 次蒙特卡洛 · 漏斗参数已按 S1 实测校准（CPM 37.6/45.2 · CTR 2.14% · CVR 0.98%；数据源：极印投放数据 2026-10-26）</t>
    <phoneticPr fontId="33" type="noConversion"/>
  </si>
  <si>
    <t>10月前人月</t>
    <phoneticPr fontId="33" type="noConversion"/>
  </si>
  <si>
    <t>ASP</t>
    <phoneticPr fontId="33" type="noConversion"/>
  </si>
  <si>
    <t>BOM</t>
    <phoneticPr fontId="33" type="noConversion"/>
  </si>
  <si>
    <t>P50</t>
    <phoneticPr fontId="33" type="noConversion"/>
  </si>
  <si>
    <t>P90</t>
    <phoneticPr fontId="33" type="noConversion"/>
  </si>
  <si>
    <t>分布</t>
    <phoneticPr fontId="33" type="noConversion"/>
  </si>
  <si>
    <t>已发生NRE</t>
    <phoneticPr fontId="33" type="noConversion"/>
  </si>
  <si>
    <t>沉没成本总和</t>
    <phoneticPr fontId="33" type="noConversion"/>
  </si>
  <si>
    <t>Worst (P10)</t>
  </si>
  <si>
    <t>Normal (P50)</t>
  </si>
  <si>
    <t>Best (P90)</t>
  </si>
  <si>
    <t>35%</t>
  </si>
  <si>
    <t>原127 人月，10月前约37</t>
    <phoneticPr fontId="33" type="noConversion"/>
  </si>
  <si>
    <t>统计量</t>
  </si>
  <si>
    <t>数值</t>
  </si>
  <si>
    <t>P50（最可能值）</t>
  </si>
  <si>
    <t>12.06 万台</t>
  </si>
  <si>
    <t>3.86 万台</t>
  </si>
  <si>
    <t>36.83 万台</t>
  </si>
  <si>
    <t>P5 / P95</t>
  </si>
  <si>
    <t>2.92 万 / 50.54 万台</t>
  </si>
  <si>
    <t>8000 次抽样的实际最小值</t>
  </si>
  <si>
    <t>0.52 万台</t>
  </si>
  <si>
    <t>8000 次抽样的实际最大值</t>
  </si>
  <si>
    <t>493.8 万台</t>
  </si>
  <si>
    <t>P(≥100 万台)</t>
  </si>
  <si>
    <t>0.254 / 0.583</t>
  </si>
  <si>
    <t>硬下限 / 硬上限</t>
  </si>
  <si>
    <t>0.18 / 0.68</t>
  </si>
  <si>
    <r>
      <t>m · 市场潜力</t>
    </r>
    <r>
      <rPr>
        <sz val="11"/>
        <color rgb="FF191919"/>
        <rFont val="微软雅黑 Light"/>
        <family val="2"/>
        <charset val="134"/>
      </rPr>
      <t>（36 个月累计销量上限，对数正态分布，中位数 12 万、σ=0.90）</t>
    </r>
  </si>
  <si>
    <r>
      <t>q · 口碑系数</t>
    </r>
    <r>
      <rPr>
        <sz val="11"/>
        <color rgb="FF191919"/>
        <rFont val="微软雅黑 Light"/>
        <family val="2"/>
        <charset val="134"/>
      </rPr>
      <t>（正态分布 μ=0.42、σ=0.10，硬截断在 [0.18, 0.68]）</t>
    </r>
  </si>
  <si>
    <t>注：对数正态分布理论上无上下界（右尾无限延伸），上面的「实际最小/最大值」只是这一次 8000 次抽样碰到的边界。</t>
  </si>
  <si>
    <t>注：截断把极端尾巴切掉了（下界堆积 0.9%、上界 0.4% 的样本），下限 0.18 对应「口碑几乎不起作用」的保守情形，上限 0.68 对应 instax/CCD 级别的强传染。</t>
  </si>
  <si>
    <r>
      <t>依据等级</t>
    </r>
    <r>
      <rPr>
        <sz val="9"/>
        <color rgb="FF191919"/>
        <rFont val="微软雅黑 Light"/>
        <family val="2"/>
        <charset val="134"/>
      </rPr>
      <t>：</t>
    </r>
    <phoneticPr fontId="44" type="noConversion"/>
  </si>
  <si>
    <t>m 的中位数 12 万和 q 的 0.42 是基于参照类（instax mini 中国盘、Flashback、Kodak Mini Shot 年销 1–3 万、CCD 潮流信号）+ 薇娅 6600 台脉冲证据做的推断校准，不是极印实测——页面页脚也标了「待市场部数据校准」。N3/S1 的首发曲线到位后，这两个先验会向极印自身能力基线收窄。</t>
    <phoneticPr fontId="44" type="noConversion"/>
  </si>
  <si>
    <t>95%</t>
  </si>
  <si>
    <t>90%</t>
  </si>
  <si>
    <t>85%</t>
  </si>
  <si>
    <t>80%</t>
  </si>
  <si>
    <t>75%</t>
  </si>
  <si>
    <t>70%</t>
  </si>
  <si>
    <t>65%</t>
  </si>
  <si>
    <t>60%</t>
  </si>
  <si>
    <t>55%</t>
  </si>
  <si>
    <t>50%</t>
  </si>
  <si>
    <t>45%</t>
  </si>
  <si>
    <t>40%</t>
  </si>
  <si>
    <t>30%</t>
  </si>
  <si>
    <t>25%</t>
  </si>
  <si>
    <t>20%</t>
  </si>
  <si>
    <t>15%</t>
  </si>
  <si>
    <t>10%</t>
  </si>
  <si>
    <t>5%</t>
  </si>
  <si>
    <t>Worst 场景锚（月销 ≈ 1,200）</t>
    <phoneticPr fontId="33" type="noConversion"/>
  </si>
  <si>
    <t>Normal 场景锚（月销 ≈ 1,800）</t>
    <phoneticPr fontId="33" type="noConversion"/>
  </si>
  <si>
    <t>Best 场景锚（月销 ≈ 3,000）</t>
    <phoneticPr fontId="33" type="noConversion"/>
  </si>
  <si>
    <t>读法：如「首年 P50 = 22,123」表示 50% 的模拟结果首年销量低于 22,123 台。</t>
    <phoneticPr fontId="33" type="noConversion"/>
  </si>
  <si>
    <t>AiKen 699 财务读数</t>
    <phoneticPr fontId="41" type="noConversion"/>
  </si>
  <si>
    <t>P20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</si>
</sst>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??_ ;_ @_ "/>
    <numFmt numFmtId="178" formatCode="&quot;￥&quot;#,##0.00_);[Red]\(&quot;￥&quot;#,##0.00\)"/>
    <numFmt numFmtId="179" formatCode="_ * #,##0_ ;_ * \-#,##0_ ;_ * &quot;-&quot;??_ ;_ @_ "/>
    <numFmt numFmtId="180" formatCode="0.0%"/>
    <numFmt numFmtId="181" formatCode="\¥#,##0.00_);[Red]\(\¥#,##0.00\)"/>
    <numFmt numFmtId="182" formatCode="_ * #,##0_ ;_ * \-#,##0_ ;_ * &quot;-&quot;?_ ;_ @_ "/>
    <numFmt numFmtId="183" formatCode="\¥#,##0_);[Red]\(\¥#,##0\)"/>
    <numFmt numFmtId="184" formatCode="&quot;$&quot;#,##0_);[Red]\(&quot;$&quot;#,##0\)"/>
  </numFmts>
  <fonts count="56">
    <font>
      <sz val="11"/>
      <color theme="1"/>
      <name val="等线"/>
      <charset val="134"/>
      <scheme val="minor"/>
    </font>
    <font>
      <sz val="10"/>
      <color rgb="FFFF000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b/>
      <sz val="14"/>
      <color theme="0"/>
      <name val="微软雅黑"/>
      <family val="2"/>
      <charset val="134"/>
    </font>
    <font>
      <sz val="10"/>
      <color theme="9" tint="-0.499984740745262"/>
      <name val="Microsoft YaHei UI"/>
      <family val="2"/>
      <charset val="134"/>
    </font>
    <font>
      <b/>
      <sz val="10"/>
      <color theme="0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0"/>
      <color theme="9" tint="-0.249977111117893"/>
      <name val="Microsoft YaHei UI"/>
      <family val="2"/>
      <charset val="134"/>
    </font>
    <font>
      <b/>
      <sz val="10"/>
      <color theme="5" tint="-0.249977111117893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sz val="10"/>
      <name val="Microsoft YaHei UI"/>
      <family val="2"/>
      <charset val="134"/>
    </font>
    <font>
      <b/>
      <sz val="10"/>
      <name val="Microsoft YaHei UI"/>
      <family val="2"/>
      <charset val="134"/>
    </font>
    <font>
      <b/>
      <sz val="10"/>
      <color theme="1" tint="0.499984740745262"/>
      <name val="Microsoft YaHei UI"/>
      <family val="2"/>
      <charset val="134"/>
    </font>
    <font>
      <b/>
      <sz val="14"/>
      <color theme="0"/>
      <name val="Microsoft YaHei UI"/>
      <family val="2"/>
      <charset val="134"/>
    </font>
    <font>
      <b/>
      <sz val="10"/>
      <color theme="9" tint="-0.499984740745262"/>
      <name val="Microsoft YaHei UI"/>
      <family val="2"/>
      <charset val="134"/>
    </font>
    <font>
      <sz val="8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微软雅黑 Light"/>
      <family val="2"/>
      <charset val="134"/>
    </font>
    <font>
      <b/>
      <sz val="11"/>
      <color theme="1"/>
      <name val="微软雅黑 Light"/>
      <family val="2"/>
      <charset val="134"/>
    </font>
    <font>
      <sz val="10"/>
      <name val="微软雅黑"/>
      <family val="2"/>
      <charset val="134"/>
    </font>
    <font>
      <b/>
      <sz val="14"/>
      <name val="微软雅黑"/>
      <family val="2"/>
      <charset val="134"/>
    </font>
    <font>
      <sz val="10"/>
      <name val="Calibri"/>
      <family val="2"/>
    </font>
    <font>
      <sz val="14"/>
      <name val="微软雅黑"/>
      <family val="2"/>
      <charset val="134"/>
    </font>
    <font>
      <sz val="8"/>
      <name val="微软雅黑"/>
      <family val="2"/>
      <charset val="134"/>
    </font>
    <font>
      <b/>
      <sz val="2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rgb="FFFA7D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i/>
      <sz val="12"/>
      <color rgb="FF7F7F7F"/>
      <name val="等线"/>
      <family val="3"/>
      <charset val="134"/>
      <scheme val="minor"/>
    </font>
    <font>
      <sz val="12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rgb="FF111111"/>
      <name val="Microsoft YaHei"/>
      <family val="2"/>
      <charset val="134"/>
    </font>
    <font>
      <sz val="10"/>
      <color rgb="FF6B6B6B"/>
      <name val="Microsoft YaHei"/>
      <family val="2"/>
      <charset val="134"/>
    </font>
    <font>
      <b/>
      <sz val="10.5"/>
      <color rgb="FF111111"/>
      <name val="Microsoft YaHei"/>
      <family val="2"/>
      <charset val="134"/>
    </font>
    <font>
      <sz val="10.5"/>
      <color rgb="FF111111"/>
      <name val="Microsoft YaHei"/>
      <family val="2"/>
      <charset val="134"/>
    </font>
    <font>
      <b/>
      <sz val="10.5"/>
      <color rgb="FFFFFFFF"/>
      <name val="Microsoft YaHei"/>
      <family val="2"/>
      <charset val="134"/>
    </font>
    <font>
      <b/>
      <sz val="10.5"/>
      <color rgb="FFEC008C"/>
      <name val="Microsoft YaHei"/>
      <family val="2"/>
      <charset val="134"/>
    </font>
    <font>
      <sz val="9.5"/>
      <color rgb="FF6B6B6B"/>
      <name val="Microsoft YaHei"/>
      <family val="2"/>
      <charset val="134"/>
    </font>
    <font>
      <sz val="9"/>
      <name val="等线"/>
      <family val="3"/>
      <charset val="134"/>
      <scheme val="minor"/>
    </font>
    <font>
      <b/>
      <sz val="10"/>
      <color rgb="FFFFFFFF"/>
      <name val="Microsoft YaHei"/>
      <family val="2"/>
      <charset val="134"/>
    </font>
    <font>
      <sz val="10.5"/>
      <name val="Microsoft YaHei"/>
      <family val="2"/>
      <charset val="134"/>
    </font>
    <font>
      <sz val="9"/>
      <name val="等线"/>
      <charset val="134"/>
      <scheme val="minor"/>
    </font>
    <font>
      <sz val="8"/>
      <color rgb="FF191919"/>
      <name val="Segoe UI"/>
      <family val="2"/>
    </font>
    <font>
      <sz val="8"/>
      <color rgb="FF191919"/>
      <name val="微软雅黑 Light"/>
      <family val="2"/>
      <charset val="134"/>
    </font>
    <font>
      <sz val="9"/>
      <color rgb="FF18181B"/>
      <name val="微软雅黑 Light"/>
      <family val="2"/>
      <charset val="134"/>
    </font>
    <font>
      <sz val="9"/>
      <color rgb="FF191919"/>
      <name val="微软雅黑 Light"/>
      <family val="2"/>
      <charset val="134"/>
    </font>
    <font>
      <sz val="9"/>
      <color theme="1"/>
      <name val="微软雅黑 Light"/>
      <family val="2"/>
      <charset val="134"/>
    </font>
    <font>
      <sz val="11"/>
      <color rgb="FF18181B"/>
      <name val="微软雅黑 Light"/>
      <family val="2"/>
      <charset val="134"/>
    </font>
    <font>
      <sz val="11"/>
      <color rgb="FF191919"/>
      <name val="微软雅黑 Light"/>
      <family val="2"/>
      <charset val="134"/>
    </font>
    <font>
      <sz val="10"/>
      <color theme="1"/>
      <name val="微软雅黑 Light"/>
      <family val="2"/>
      <charset val="134"/>
    </font>
    <font>
      <b/>
      <sz val="9"/>
      <color theme="1"/>
      <name val="微软雅黑 Light"/>
      <family val="2"/>
      <charset val="134"/>
    </font>
    <font>
      <b/>
      <sz val="9"/>
      <color rgb="FFFFFFFF"/>
      <name val="微软雅黑 Light"/>
      <family val="2"/>
      <charset val="134"/>
    </font>
    <font>
      <b/>
      <sz val="12"/>
      <name val="微软雅黑"/>
      <family val="2"/>
      <charset val="134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F7F7"/>
      </patternFill>
    </fill>
    <fill>
      <patternFill patternType="solid">
        <fgColor rgb="FF111111"/>
      </patternFill>
    </fill>
    <fill>
      <patternFill patternType="solid">
        <fgColor rgb="FFFFF7E6"/>
      </patternFill>
    </fill>
    <fill>
      <patternFill patternType="solid">
        <fgColor rgb="FFFFF6D9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1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15" borderId="51" applyNumberFormat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16" borderId="5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32" fillId="14" borderId="51" applyNumberFormat="0" applyAlignment="0" applyProtection="0">
      <alignment vertical="center"/>
    </xf>
  </cellStyleXfs>
  <cellXfs count="208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>
      <alignment vertical="center"/>
    </xf>
    <xf numFmtId="0" fontId="2" fillId="0" borderId="1" xfId="7" applyFont="1" applyFill="1" applyBorder="1" applyAlignment="1">
      <alignment vertical="center"/>
    </xf>
    <xf numFmtId="177" fontId="4" fillId="3" borderId="2" xfId="2" applyNumberFormat="1" applyFont="1" applyFill="1" applyBorder="1" applyAlignment="1">
      <alignment horizontal="center" vertical="center"/>
    </xf>
    <xf numFmtId="0" fontId="2" fillId="0" borderId="9" xfId="7" applyFont="1" applyFill="1" applyBorder="1" applyAlignment="1">
      <alignment vertical="center"/>
    </xf>
    <xf numFmtId="177" fontId="4" fillId="3" borderId="10" xfId="2" applyNumberFormat="1" applyFont="1" applyFill="1" applyBorder="1" applyAlignment="1">
      <alignment horizontal="center" vertical="center"/>
    </xf>
    <xf numFmtId="0" fontId="6" fillId="6" borderId="11" xfId="6" applyFont="1" applyFill="1" applyBorder="1" applyAlignment="1">
      <alignment horizontal="center" vertical="center"/>
    </xf>
    <xf numFmtId="0" fontId="6" fillId="6" borderId="12" xfId="6" applyFont="1" applyFill="1" applyBorder="1" applyAlignment="1">
      <alignment horizontal="center" vertical="center"/>
    </xf>
    <xf numFmtId="0" fontId="6" fillId="6" borderId="13" xfId="6" applyFont="1" applyFill="1" applyBorder="1" applyAlignment="1">
      <alignment horizontal="center" vertical="center"/>
    </xf>
    <xf numFmtId="0" fontId="6" fillId="6" borderId="14" xfId="6" applyFont="1" applyFill="1" applyBorder="1" applyAlignment="1">
      <alignment horizontal="center" vertical="center"/>
    </xf>
    <xf numFmtId="0" fontId="6" fillId="6" borderId="15" xfId="6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3" borderId="0" xfId="6" applyFont="1" applyFill="1" applyAlignment="1">
      <alignment horizontal="right" vertical="center"/>
    </xf>
    <xf numFmtId="176" fontId="9" fillId="3" borderId="9" xfId="2" applyFont="1" applyFill="1" applyBorder="1" applyAlignment="1">
      <alignment horizontal="center" vertical="center"/>
    </xf>
    <xf numFmtId="176" fontId="10" fillId="0" borderId="16" xfId="2" applyFont="1" applyFill="1" applyBorder="1" applyAlignment="1">
      <alignment horizontal="center" vertical="center"/>
    </xf>
    <xf numFmtId="176" fontId="10" fillId="0" borderId="17" xfId="2" applyFont="1" applyFill="1" applyBorder="1" applyAlignment="1">
      <alignment horizontal="center" vertical="center"/>
    </xf>
    <xf numFmtId="176" fontId="10" fillId="0" borderId="10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78" fontId="2" fillId="0" borderId="2" xfId="0" applyNumberFormat="1" applyFont="1" applyBorder="1" applyAlignment="1">
      <alignment horizontal="center" vertical="center"/>
    </xf>
    <xf numFmtId="0" fontId="10" fillId="0" borderId="0" xfId="6" applyFont="1" applyAlignment="1">
      <alignment horizontal="right" vertical="center"/>
    </xf>
    <xf numFmtId="176" fontId="10" fillId="0" borderId="9" xfId="2" applyFont="1" applyFill="1" applyBorder="1" applyAlignment="1">
      <alignment horizontal="center" vertical="center"/>
    </xf>
    <xf numFmtId="176" fontId="10" fillId="0" borderId="18" xfId="2" applyFont="1" applyFill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178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7" applyFont="1" applyFill="1" applyBorder="1" applyAlignment="1">
      <alignment vertical="center"/>
    </xf>
    <xf numFmtId="177" fontId="4" fillId="3" borderId="20" xfId="2" applyNumberFormat="1" applyFont="1" applyFill="1" applyBorder="1" applyAlignment="1">
      <alignment horizontal="center" vertical="center"/>
    </xf>
    <xf numFmtId="176" fontId="4" fillId="3" borderId="9" xfId="2" applyFont="1" applyFill="1" applyBorder="1" applyAlignment="1">
      <alignment horizontal="center" vertical="center"/>
    </xf>
    <xf numFmtId="179" fontId="6" fillId="0" borderId="10" xfId="0" applyNumberFormat="1" applyFont="1" applyBorder="1">
      <alignment vertical="center"/>
    </xf>
    <xf numFmtId="176" fontId="1" fillId="3" borderId="9" xfId="2" applyFont="1" applyFill="1" applyBorder="1" applyAlignment="1">
      <alignment horizontal="center" vertical="center"/>
    </xf>
    <xf numFmtId="176" fontId="6" fillId="0" borderId="10" xfId="2" applyFont="1" applyBorder="1">
      <alignment vertical="center"/>
    </xf>
    <xf numFmtId="176" fontId="4" fillId="3" borderId="2" xfId="2" applyFont="1" applyFill="1" applyBorder="1" applyAlignment="1">
      <alignment horizontal="center" vertical="center"/>
    </xf>
    <xf numFmtId="176" fontId="10" fillId="0" borderId="9" xfId="2" applyFont="1" applyFill="1" applyBorder="1" applyAlignment="1">
      <alignment horizontal="center" vertical="center" wrapText="1"/>
    </xf>
    <xf numFmtId="176" fontId="10" fillId="0" borderId="18" xfId="2" applyFont="1" applyFill="1" applyBorder="1" applyAlignment="1">
      <alignment horizontal="center" vertical="center" wrapText="1"/>
    </xf>
    <xf numFmtId="176" fontId="10" fillId="0" borderId="10" xfId="2" applyFont="1" applyFill="1" applyBorder="1" applyAlignment="1">
      <alignment horizontal="center" vertical="center" wrapText="1"/>
    </xf>
    <xf numFmtId="176" fontId="4" fillId="3" borderId="10" xfId="2" applyFont="1" applyFill="1" applyBorder="1" applyAlignment="1">
      <alignment horizontal="center" vertical="center"/>
    </xf>
    <xf numFmtId="10" fontId="4" fillId="3" borderId="9" xfId="3" applyNumberFormat="1" applyFont="1" applyFill="1" applyBorder="1" applyAlignment="1">
      <alignment horizontal="center" vertical="center"/>
    </xf>
    <xf numFmtId="10" fontId="10" fillId="0" borderId="16" xfId="3" applyNumberFormat="1" applyFont="1" applyFill="1" applyBorder="1" applyAlignment="1">
      <alignment horizontal="center" vertical="center"/>
    </xf>
    <xf numFmtId="10" fontId="10" fillId="0" borderId="18" xfId="3" applyNumberFormat="1" applyFont="1" applyFill="1" applyBorder="1" applyAlignment="1">
      <alignment horizontal="center" vertical="center"/>
    </xf>
    <xf numFmtId="10" fontId="10" fillId="0" borderId="10" xfId="3" applyNumberFormat="1" applyFont="1" applyFill="1" applyBorder="1" applyAlignment="1">
      <alignment horizontal="center" vertical="center"/>
    </xf>
    <xf numFmtId="180" fontId="2" fillId="0" borderId="10" xfId="3" applyNumberFormat="1" applyFont="1" applyBorder="1">
      <alignment vertical="center"/>
    </xf>
    <xf numFmtId="9" fontId="2" fillId="0" borderId="20" xfId="3" applyFont="1" applyBorder="1">
      <alignment vertical="center"/>
    </xf>
    <xf numFmtId="176" fontId="2" fillId="0" borderId="2" xfId="2" applyFont="1" applyBorder="1">
      <alignment vertical="center"/>
    </xf>
    <xf numFmtId="176" fontId="10" fillId="8" borderId="10" xfId="2" applyFont="1" applyFill="1" applyBorder="1" applyAlignment="1">
      <alignment horizontal="center" vertical="center"/>
    </xf>
    <xf numFmtId="176" fontId="4" fillId="3" borderId="20" xfId="2" applyFont="1" applyFill="1" applyBorder="1" applyAlignment="1">
      <alignment horizontal="center" vertical="center"/>
    </xf>
    <xf numFmtId="0" fontId="11" fillId="0" borderId="0" xfId="6" applyFont="1">
      <alignment vertical="center"/>
    </xf>
    <xf numFmtId="179" fontId="4" fillId="3" borderId="2" xfId="1" applyNumberFormat="1" applyFont="1" applyFill="1" applyBorder="1" applyAlignment="1">
      <alignment horizontal="center" vertical="center"/>
    </xf>
    <xf numFmtId="179" fontId="4" fillId="3" borderId="10" xfId="1" applyNumberFormat="1" applyFont="1" applyFill="1" applyBorder="1" applyAlignment="1">
      <alignment horizontal="center" vertical="center"/>
    </xf>
    <xf numFmtId="0" fontId="12" fillId="0" borderId="0" xfId="6" applyFont="1" applyAlignment="1">
      <alignment horizontal="right" vertical="center"/>
    </xf>
    <xf numFmtId="176" fontId="13" fillId="0" borderId="16" xfId="2" applyFont="1" applyFill="1" applyBorder="1" applyAlignment="1">
      <alignment horizontal="center" vertical="center"/>
    </xf>
    <xf numFmtId="176" fontId="13" fillId="0" borderId="18" xfId="2" applyFont="1" applyFill="1" applyBorder="1" applyAlignment="1">
      <alignment horizontal="center" vertical="center"/>
    </xf>
    <xf numFmtId="176" fontId="13" fillId="0" borderId="10" xfId="2" applyFont="1" applyFill="1" applyBorder="1" applyAlignment="1">
      <alignment horizontal="center" vertical="center"/>
    </xf>
    <xf numFmtId="179" fontId="4" fillId="0" borderId="10" xfId="1" applyNumberFormat="1" applyFont="1" applyFill="1" applyBorder="1" applyAlignment="1">
      <alignment horizontal="center" vertical="center"/>
    </xf>
    <xf numFmtId="179" fontId="4" fillId="3" borderId="10" xfId="1" applyNumberFormat="1" applyFont="1" applyFill="1" applyBorder="1" applyAlignment="1">
      <alignment vertical="center"/>
    </xf>
    <xf numFmtId="10" fontId="10" fillId="0" borderId="9" xfId="3" applyNumberFormat="1" applyFont="1" applyFill="1" applyBorder="1" applyAlignment="1">
      <alignment horizontal="center" vertical="center"/>
    </xf>
    <xf numFmtId="179" fontId="4" fillId="3" borderId="20" xfId="1" applyNumberFormat="1" applyFont="1" applyFill="1" applyBorder="1" applyAlignment="1">
      <alignment vertical="center"/>
    </xf>
    <xf numFmtId="179" fontId="10" fillId="0" borderId="9" xfId="1" applyNumberFormat="1" applyFont="1" applyFill="1" applyBorder="1" applyAlignment="1">
      <alignment horizontal="center" vertical="center"/>
    </xf>
    <xf numFmtId="179" fontId="10" fillId="0" borderId="16" xfId="1" applyNumberFormat="1" applyFont="1" applyFill="1" applyBorder="1" applyAlignment="1">
      <alignment horizontal="center" vertical="center"/>
    </xf>
    <xf numFmtId="179" fontId="10" fillId="0" borderId="9" xfId="1" applyNumberFormat="1" applyFont="1" applyFill="1" applyBorder="1">
      <alignment vertical="center"/>
    </xf>
    <xf numFmtId="179" fontId="10" fillId="0" borderId="18" xfId="1" applyNumberFormat="1" applyFont="1" applyFill="1" applyBorder="1">
      <alignment vertical="center"/>
    </xf>
    <xf numFmtId="179" fontId="10" fillId="0" borderId="10" xfId="1" applyNumberFormat="1" applyFont="1" applyFill="1" applyBorder="1">
      <alignment vertical="center"/>
    </xf>
    <xf numFmtId="2" fontId="2" fillId="0" borderId="0" xfId="6" applyNumberFormat="1" applyFont="1" applyAlignment="1">
      <alignment vertical="center" wrapText="1"/>
    </xf>
    <xf numFmtId="176" fontId="12" fillId="0" borderId="9" xfId="2" applyFont="1" applyFill="1" applyBorder="1" applyAlignment="1">
      <alignment horizontal="center" vertical="center"/>
    </xf>
    <xf numFmtId="176" fontId="12" fillId="0" borderId="9" xfId="2" applyFont="1" applyFill="1" applyBorder="1">
      <alignment vertical="center"/>
    </xf>
    <xf numFmtId="176" fontId="10" fillId="0" borderId="18" xfId="2" applyFont="1" applyFill="1" applyBorder="1">
      <alignment vertical="center"/>
    </xf>
    <xf numFmtId="176" fontId="10" fillId="0" borderId="10" xfId="2" applyFont="1" applyFill="1" applyBorder="1">
      <alignment vertical="center"/>
    </xf>
    <xf numFmtId="176" fontId="12" fillId="0" borderId="19" xfId="2" applyFont="1" applyFill="1" applyBorder="1" applyAlignment="1">
      <alignment horizontal="center" vertical="center"/>
    </xf>
    <xf numFmtId="176" fontId="10" fillId="0" borderId="21" xfId="2" applyFont="1" applyFill="1" applyBorder="1" applyAlignment="1">
      <alignment horizontal="center" vertical="center"/>
    </xf>
    <xf numFmtId="176" fontId="12" fillId="0" borderId="19" xfId="2" applyFont="1" applyFill="1" applyBorder="1">
      <alignment vertical="center"/>
    </xf>
    <xf numFmtId="176" fontId="10" fillId="0" borderId="22" xfId="2" applyFont="1" applyFill="1" applyBorder="1">
      <alignment vertical="center"/>
    </xf>
    <xf numFmtId="176" fontId="10" fillId="0" borderId="20" xfId="2" applyFont="1" applyFill="1" applyBorder="1">
      <alignment vertical="center"/>
    </xf>
    <xf numFmtId="0" fontId="2" fillId="0" borderId="0" xfId="6" applyFont="1" applyAlignment="1">
      <alignment horizontal="right" vertical="center"/>
    </xf>
    <xf numFmtId="43" fontId="2" fillId="0" borderId="0" xfId="1" applyFont="1" applyBorder="1">
      <alignment vertical="center"/>
    </xf>
    <xf numFmtId="43" fontId="2" fillId="0" borderId="0" xfId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3" fontId="2" fillId="0" borderId="0" xfId="1" applyFont="1" applyAlignment="1">
      <alignment horizontal="left" vertical="center"/>
    </xf>
    <xf numFmtId="0" fontId="2" fillId="0" borderId="0" xfId="0" applyFont="1" applyAlignment="1">
      <alignment horizontal="right"/>
    </xf>
    <xf numFmtId="176" fontId="11" fillId="0" borderId="10" xfId="1" applyNumberFormat="1" applyFont="1" applyFill="1" applyBorder="1" applyAlignment="1"/>
    <xf numFmtId="9" fontId="4" fillId="3" borderId="9" xfId="1" applyNumberFormat="1" applyFont="1" applyFill="1" applyBorder="1" applyAlignment="1"/>
    <xf numFmtId="43" fontId="11" fillId="0" borderId="10" xfId="1" applyFont="1" applyFill="1" applyBorder="1" applyAlignment="1"/>
    <xf numFmtId="0" fontId="2" fillId="0" borderId="23" xfId="0" applyFont="1" applyBorder="1">
      <alignment vertical="center"/>
    </xf>
    <xf numFmtId="0" fontId="2" fillId="0" borderId="26" xfId="0" applyFont="1" applyBorder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2" fillId="10" borderId="12" xfId="1" applyNumberFormat="1" applyFont="1" applyFill="1" applyBorder="1">
      <alignment vertical="center"/>
    </xf>
    <xf numFmtId="182" fontId="2" fillId="0" borderId="0" xfId="0" applyNumberFormat="1" applyFont="1">
      <alignment vertical="center"/>
    </xf>
    <xf numFmtId="0" fontId="2" fillId="0" borderId="31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4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179" fontId="2" fillId="0" borderId="0" xfId="0" applyNumberFormat="1" applyFont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2" fillId="0" borderId="38" xfId="0" applyFont="1" applyBorder="1">
      <alignment vertical="center"/>
    </xf>
    <xf numFmtId="0" fontId="6" fillId="0" borderId="39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11" borderId="40" xfId="0" applyFont="1" applyFill="1" applyBorder="1" applyAlignment="1">
      <alignment horizontal="center" vertical="center"/>
    </xf>
    <xf numFmtId="0" fontId="18" fillId="11" borderId="4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42" xfId="0" applyBorder="1">
      <alignment vertical="center"/>
    </xf>
    <xf numFmtId="0" fontId="19" fillId="0" borderId="43" xfId="0" applyFont="1" applyBorder="1">
      <alignment vertical="center"/>
    </xf>
    <xf numFmtId="0" fontId="20" fillId="0" borderId="3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1" xfId="0" applyFont="1" applyBorder="1">
      <alignment vertical="center"/>
    </xf>
    <xf numFmtId="0" fontId="21" fillId="0" borderId="44" xfId="0" applyFont="1" applyBorder="1">
      <alignment vertical="center"/>
    </xf>
    <xf numFmtId="0" fontId="21" fillId="0" borderId="0" xfId="0" applyFont="1">
      <alignment vertical="center"/>
    </xf>
    <xf numFmtId="0" fontId="19" fillId="0" borderId="35" xfId="0" applyFont="1" applyBorder="1" applyAlignment="1">
      <alignment horizontal="center" vertical="center"/>
    </xf>
    <xf numFmtId="183" fontId="19" fillId="0" borderId="27" xfId="0" applyNumberFormat="1" applyFont="1" applyBorder="1">
      <alignment vertical="center"/>
    </xf>
    <xf numFmtId="0" fontId="19" fillId="0" borderId="39" xfId="0" applyFont="1" applyBorder="1">
      <alignment vertical="center"/>
    </xf>
    <xf numFmtId="0" fontId="19" fillId="12" borderId="36" xfId="0" applyFont="1" applyFill="1" applyBorder="1" applyAlignment="1">
      <alignment horizontal="center" vertical="center"/>
    </xf>
    <xf numFmtId="183" fontId="19" fillId="12" borderId="45" xfId="0" applyNumberFormat="1" applyFont="1" applyFill="1" applyBorder="1">
      <alignment vertical="center"/>
    </xf>
    <xf numFmtId="0" fontId="19" fillId="0" borderId="32" xfId="0" applyFont="1" applyBorder="1">
      <alignment vertical="center"/>
    </xf>
    <xf numFmtId="0" fontId="21" fillId="0" borderId="46" xfId="0" applyFont="1" applyBorder="1">
      <alignment vertical="center"/>
    </xf>
    <xf numFmtId="184" fontId="22" fillId="13" borderId="46" xfId="0" applyNumberFormat="1" applyFont="1" applyFill="1" applyBorder="1">
      <alignment vertical="center"/>
    </xf>
    <xf numFmtId="184" fontId="22" fillId="13" borderId="41" xfId="0" applyNumberFormat="1" applyFont="1" applyFill="1" applyBorder="1">
      <alignment vertical="center"/>
    </xf>
    <xf numFmtId="184" fontId="22" fillId="0" borderId="0" xfId="0" applyNumberFormat="1" applyFont="1">
      <alignment vertical="center"/>
    </xf>
    <xf numFmtId="0" fontId="22" fillId="13" borderId="47" xfId="0" applyFont="1" applyFill="1" applyBorder="1">
      <alignment vertical="center"/>
    </xf>
    <xf numFmtId="0" fontId="23" fillId="0" borderId="0" xfId="0" applyFont="1">
      <alignment vertical="center"/>
    </xf>
    <xf numFmtId="0" fontId="24" fillId="0" borderId="7" xfId="0" applyFont="1" applyBorder="1">
      <alignment vertical="center"/>
    </xf>
    <xf numFmtId="14" fontId="22" fillId="0" borderId="50" xfId="0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9" fontId="2" fillId="0" borderId="20" xfId="3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34" fillId="0" borderId="0" xfId="0" applyFont="1" applyAlignment="1"/>
    <xf numFmtId="0" fontId="0" fillId="0" borderId="0" xfId="0" applyAlignment="1"/>
    <xf numFmtId="0" fontId="35" fillId="0" borderId="0" xfId="0" applyFont="1" applyAlignment="1"/>
    <xf numFmtId="0" fontId="36" fillId="17" borderId="53" xfId="0" applyFont="1" applyFill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8" fillId="18" borderId="53" xfId="0" applyFont="1" applyFill="1" applyBorder="1" applyAlignment="1">
      <alignment horizontal="center" vertical="center"/>
    </xf>
    <xf numFmtId="0" fontId="37" fillId="17" borderId="53" xfId="0" applyFont="1" applyFill="1" applyBorder="1" applyAlignment="1">
      <alignment horizontal="left" vertical="center" wrapText="1"/>
    </xf>
    <xf numFmtId="0" fontId="40" fillId="0" borderId="0" xfId="0" applyFont="1" applyAlignment="1"/>
    <xf numFmtId="0" fontId="39" fillId="19" borderId="53" xfId="0" applyFont="1" applyFill="1" applyBorder="1" applyAlignment="1">
      <alignment horizontal="left" vertical="center" wrapText="1"/>
    </xf>
    <xf numFmtId="0" fontId="19" fillId="0" borderId="0" xfId="0" applyFont="1">
      <alignment vertical="center"/>
    </xf>
    <xf numFmtId="183" fontId="19" fillId="0" borderId="0" xfId="0" applyNumberFormat="1" applyFont="1">
      <alignment vertical="center"/>
    </xf>
    <xf numFmtId="176" fontId="2" fillId="0" borderId="0" xfId="2" applyFont="1">
      <alignment vertical="center"/>
    </xf>
    <xf numFmtId="176" fontId="15" fillId="3" borderId="9" xfId="1" applyNumberFormat="1" applyFont="1" applyFill="1" applyBorder="1" applyAlignment="1"/>
    <xf numFmtId="0" fontId="5" fillId="9" borderId="54" xfId="0" applyFont="1" applyFill="1" applyBorder="1">
      <alignment vertical="center"/>
    </xf>
    <xf numFmtId="176" fontId="15" fillId="3" borderId="55" xfId="1" applyNumberFormat="1" applyFont="1" applyFill="1" applyBorder="1" applyAlignment="1"/>
    <xf numFmtId="181" fontId="9" fillId="3" borderId="19" xfId="1" applyNumberFormat="1" applyFont="1" applyFill="1" applyBorder="1" applyAlignment="1"/>
    <xf numFmtId="176" fontId="11" fillId="0" borderId="20" xfId="1" applyNumberFormat="1" applyFont="1" applyFill="1" applyBorder="1" applyAlignment="1"/>
    <xf numFmtId="9" fontId="6" fillId="0" borderId="20" xfId="3" applyFont="1" applyBorder="1">
      <alignment vertical="center"/>
    </xf>
    <xf numFmtId="0" fontId="43" fillId="0" borderId="56" xfId="0" applyFont="1" applyBorder="1" applyAlignment="1"/>
    <xf numFmtId="0" fontId="39" fillId="0" borderId="56" xfId="0" applyFont="1" applyBorder="1" applyAlignment="1"/>
    <xf numFmtId="0" fontId="50" fillId="0" borderId="27" xfId="0" applyFont="1" applyBorder="1" applyAlignment="1">
      <alignment horizontal="center" vertical="top" wrapText="1"/>
    </xf>
    <xf numFmtId="0" fontId="50" fillId="0" borderId="27" xfId="0" applyFont="1" applyBorder="1" applyAlignment="1">
      <alignment vertical="top" wrapText="1"/>
    </xf>
    <xf numFmtId="0" fontId="51" fillId="0" borderId="27" xfId="0" applyFont="1" applyBorder="1" applyAlignment="1">
      <alignment vertical="top" wrapText="1"/>
    </xf>
    <xf numFmtId="10" fontId="50" fillId="0" borderId="27" xfId="0" applyNumberFormat="1" applyFont="1" applyBorder="1" applyAlignment="1">
      <alignment horizontal="left" vertical="top" wrapText="1"/>
    </xf>
    <xf numFmtId="0" fontId="50" fillId="0" borderId="27" xfId="0" applyFont="1" applyBorder="1" applyAlignment="1">
      <alignment horizontal="left" vertical="top" wrapText="1"/>
    </xf>
    <xf numFmtId="0" fontId="51" fillId="0" borderId="27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center" vertical="center"/>
    </xf>
    <xf numFmtId="0" fontId="18" fillId="20" borderId="53" xfId="0" applyFont="1" applyFill="1" applyBorder="1" applyAlignment="1">
      <alignment horizontal="center" vertical="center"/>
    </xf>
    <xf numFmtId="0" fontId="43" fillId="0" borderId="59" xfId="0" applyFont="1" applyBorder="1" applyAlignment="1"/>
    <xf numFmtId="0" fontId="52" fillId="0" borderId="0" xfId="0" applyFont="1" applyAlignment="1">
      <alignment horizontal="right" vertical="center"/>
    </xf>
    <xf numFmtId="0" fontId="39" fillId="0" borderId="59" xfId="0" applyFont="1" applyBorder="1" applyAlignment="1"/>
    <xf numFmtId="178" fontId="49" fillId="0" borderId="0" xfId="0" applyNumberFormat="1" applyFont="1" applyAlignment="1">
      <alignment horizontal="center" vertical="center"/>
    </xf>
    <xf numFmtId="9" fontId="49" fillId="0" borderId="0" xfId="3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79" fontId="53" fillId="0" borderId="0" xfId="0" applyNumberFormat="1" applyFont="1">
      <alignment vertical="center"/>
    </xf>
    <xf numFmtId="176" fontId="53" fillId="0" borderId="0" xfId="2" applyFont="1" applyBorder="1">
      <alignment vertical="center"/>
    </xf>
    <xf numFmtId="180" fontId="49" fillId="0" borderId="0" xfId="3" applyNumberFormat="1" applyFont="1" applyBorder="1">
      <alignment vertical="center"/>
    </xf>
    <xf numFmtId="9" fontId="49" fillId="0" borderId="0" xfId="3" applyFont="1" applyBorder="1">
      <alignment vertical="center"/>
    </xf>
    <xf numFmtId="176" fontId="49" fillId="0" borderId="0" xfId="2" applyFont="1" applyBorder="1">
      <alignment vertical="center"/>
    </xf>
    <xf numFmtId="43" fontId="53" fillId="0" borderId="0" xfId="1" applyFont="1" applyBorder="1">
      <alignment vertical="center"/>
    </xf>
    <xf numFmtId="0" fontId="42" fillId="0" borderId="58" xfId="0" applyFont="1" applyBorder="1" applyAlignment="1">
      <alignment horizontal="center"/>
    </xf>
    <xf numFmtId="0" fontId="54" fillId="18" borderId="58" xfId="0" applyFont="1" applyFill="1" applyBorder="1" applyAlignment="1">
      <alignment horizontal="center"/>
    </xf>
    <xf numFmtId="0" fontId="14" fillId="2" borderId="0" xfId="6" applyFont="1" applyFill="1" applyAlignment="1">
      <alignment horizontal="center" vertical="center"/>
    </xf>
    <xf numFmtId="0" fontId="5" fillId="4" borderId="1" xfId="6" applyFont="1" applyFill="1" applyBorder="1" applyAlignment="1">
      <alignment horizontal="center" vertical="center"/>
    </xf>
    <xf numFmtId="0" fontId="5" fillId="4" borderId="3" xfId="6" applyFont="1" applyFill="1" applyBorder="1" applyAlignment="1">
      <alignment horizontal="center" vertical="center"/>
    </xf>
    <xf numFmtId="0" fontId="6" fillId="0" borderId="4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5" fillId="4" borderId="6" xfId="6" applyFont="1" applyFill="1" applyBorder="1" applyAlignment="1">
      <alignment horizontal="center" vertical="center"/>
    </xf>
    <xf numFmtId="0" fontId="5" fillId="4" borderId="2" xfId="6" applyFont="1" applyFill="1" applyBorder="1" applyAlignment="1">
      <alignment horizontal="center" vertical="center"/>
    </xf>
    <xf numFmtId="0" fontId="7" fillId="5" borderId="7" xfId="6" applyFont="1" applyFill="1" applyBorder="1" applyAlignment="1">
      <alignment horizontal="center" vertical="center"/>
    </xf>
    <xf numFmtId="0" fontId="7" fillId="5" borderId="8" xfId="6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3" fontId="22" fillId="13" borderId="48" xfId="0" applyNumberFormat="1" applyFont="1" applyFill="1" applyBorder="1" applyAlignment="1">
      <alignment horizontal="center" vertical="center"/>
    </xf>
    <xf numFmtId="0" fontId="23" fillId="0" borderId="49" xfId="0" applyFont="1" applyBorder="1">
      <alignment vertical="center"/>
    </xf>
    <xf numFmtId="0" fontId="17" fillId="0" borderId="0" xfId="0" applyFont="1">
      <alignment vertical="center"/>
    </xf>
    <xf numFmtId="0" fontId="0" fillId="0" borderId="0" xfId="0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55" fillId="0" borderId="60" xfId="0" applyFont="1" applyBorder="1" applyAlignment="1">
      <alignment horizontal="center"/>
    </xf>
    <xf numFmtId="0" fontId="3" fillId="2" borderId="0" xfId="6" applyFont="1" applyFill="1" applyAlignment="1">
      <alignment horizontal="center" vertical="center"/>
    </xf>
    <xf numFmtId="0" fontId="46" fillId="0" borderId="57" xfId="0" applyFont="1" applyBorder="1" applyAlignment="1">
      <alignment horizontal="left" vertical="center" wrapText="1"/>
    </xf>
    <xf numFmtId="0" fontId="50" fillId="0" borderId="13" xfId="0" applyFont="1" applyBorder="1" applyAlignment="1">
      <alignment horizontal="left" vertical="center"/>
    </xf>
    <xf numFmtId="0" fontId="45" fillId="0" borderId="57" xfId="0" applyFont="1" applyBorder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/>
    </xf>
  </cellXfs>
  <cellStyles count="11">
    <cellStyle name="百分比" xfId="3" builtinId="5"/>
    <cellStyle name="百分比 2" xfId="5" xr:uid="{00000000-0005-0000-0000-000032000000}"/>
    <cellStyle name="常规" xfId="0" builtinId="0"/>
    <cellStyle name="常规 2" xfId="6" xr:uid="{00000000-0005-0000-0000-000033000000}"/>
    <cellStyle name="货币" xfId="2" builtinId="4"/>
    <cellStyle name="计算 2" xfId="4" xr:uid="{00000000-0005-0000-0000-000031000000}"/>
    <cellStyle name="检查单元格 2" xfId="7" xr:uid="{00000000-0005-0000-0000-000034000000}"/>
    <cellStyle name="解释性文本 2" xfId="8" xr:uid="{00000000-0005-0000-0000-000035000000}"/>
    <cellStyle name="千位分隔" xfId="1" builtinId="3"/>
    <cellStyle name="千位分隔 2" xfId="9" xr:uid="{00000000-0005-0000-0000-000036000000}"/>
    <cellStyle name="输入 2" xfId="10" xr:uid="{00000000-0005-0000-0000-000037000000}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2"/>
  <sheetViews>
    <sheetView topLeftCell="F1" workbookViewId="0">
      <selection activeCell="I19" sqref="I19"/>
    </sheetView>
  </sheetViews>
  <sheetFormatPr defaultColWidth="12.21875" defaultRowHeight="16.5" customHeight="1"/>
  <cols>
    <col min="1" max="1" width="15.6640625" customWidth="1"/>
    <col min="2" max="2" width="31.77734375" customWidth="1"/>
    <col min="3" max="3" width="24.5546875" customWidth="1"/>
    <col min="4" max="4" width="15.5546875" customWidth="1"/>
    <col min="7" max="7" width="15.109375" customWidth="1"/>
    <col min="8" max="8" width="21.109375" customWidth="1"/>
    <col min="9" max="9" width="44.109375" bestFit="1" customWidth="1"/>
  </cols>
  <sheetData>
    <row r="2" spans="1:9" ht="16.5" customHeight="1">
      <c r="A2" s="105"/>
      <c r="B2" s="106" t="s">
        <v>1</v>
      </c>
      <c r="C2" s="107" t="s">
        <v>2</v>
      </c>
      <c r="D2" s="107" t="s">
        <v>3</v>
      </c>
      <c r="E2" s="107" t="s">
        <v>4</v>
      </c>
      <c r="F2" s="108"/>
      <c r="G2" s="109"/>
      <c r="H2" s="110"/>
      <c r="I2" s="111" t="s">
        <v>0</v>
      </c>
    </row>
    <row r="3" spans="1:9" ht="16.5" customHeight="1">
      <c r="A3" s="105"/>
      <c r="B3" s="112" t="s">
        <v>5</v>
      </c>
      <c r="C3" s="113" t="s">
        <v>6</v>
      </c>
      <c r="D3" s="114" t="e">
        <f>#REF!</f>
        <v>#REF!</v>
      </c>
      <c r="E3" s="115" t="s">
        <v>7</v>
      </c>
      <c r="F3" s="116"/>
      <c r="G3" s="117" t="s">
        <v>8</v>
      </c>
      <c r="H3" s="118">
        <v>600000</v>
      </c>
      <c r="I3" s="119"/>
    </row>
    <row r="4" spans="1:9" ht="16.5" customHeight="1">
      <c r="A4" s="105"/>
      <c r="B4" s="112" t="s">
        <v>9</v>
      </c>
      <c r="C4" s="113" t="s">
        <v>10</v>
      </c>
      <c r="D4" s="114" t="e">
        <f>#REF!</f>
        <v>#REF!</v>
      </c>
      <c r="E4" s="115" t="s">
        <v>7</v>
      </c>
      <c r="F4" s="116"/>
      <c r="G4" s="117" t="s">
        <v>11</v>
      </c>
      <c r="H4" s="118">
        <v>500000</v>
      </c>
      <c r="I4" s="119"/>
    </row>
    <row r="5" spans="1:9" ht="16.5" customHeight="1">
      <c r="A5" s="105"/>
      <c r="B5" s="112" t="s">
        <v>12</v>
      </c>
      <c r="C5" s="113" t="s">
        <v>13</v>
      </c>
      <c r="D5" s="114" t="e">
        <f>#REF!</f>
        <v>#REF!</v>
      </c>
      <c r="E5" s="115" t="s">
        <v>7</v>
      </c>
      <c r="F5" s="116"/>
      <c r="G5" s="117" t="s">
        <v>14</v>
      </c>
      <c r="H5" s="118">
        <v>375550</v>
      </c>
      <c r="I5" s="119"/>
    </row>
    <row r="6" spans="1:9" ht="16.5" customHeight="1">
      <c r="A6" s="105"/>
      <c r="B6" s="112" t="s">
        <v>15</v>
      </c>
      <c r="C6" s="113" t="s">
        <v>16</v>
      </c>
      <c r="D6" s="114" t="e">
        <f>#REF!</f>
        <v>#REF!</v>
      </c>
      <c r="E6" s="115" t="s">
        <v>7</v>
      </c>
      <c r="F6" s="116"/>
      <c r="G6" s="117" t="s">
        <v>17</v>
      </c>
      <c r="H6" s="118">
        <v>145000</v>
      </c>
      <c r="I6" s="119"/>
    </row>
    <row r="7" spans="1:9" ht="16.5" customHeight="1">
      <c r="A7" s="105"/>
      <c r="B7" s="112" t="s">
        <v>18</v>
      </c>
      <c r="C7" s="113" t="s">
        <v>19</v>
      </c>
      <c r="D7" s="114" t="e">
        <f>#REF!</f>
        <v>#REF!</v>
      </c>
      <c r="E7" s="115" t="s">
        <v>7</v>
      </c>
      <c r="F7" s="116"/>
      <c r="G7" s="117" t="s">
        <v>20</v>
      </c>
      <c r="H7" s="118">
        <v>150000</v>
      </c>
      <c r="I7" s="119"/>
    </row>
    <row r="8" spans="1:9" ht="16.5" customHeight="1">
      <c r="A8" s="105"/>
      <c r="B8" s="112" t="s">
        <v>21</v>
      </c>
      <c r="C8" s="113" t="s">
        <v>22</v>
      </c>
      <c r="D8" s="114" t="e">
        <f>#REF!</f>
        <v>#REF!</v>
      </c>
      <c r="E8" s="115" t="s">
        <v>7</v>
      </c>
      <c r="F8" s="116"/>
      <c r="G8" s="117" t="s">
        <v>23</v>
      </c>
      <c r="H8" s="118">
        <f>(127-37)*33000</f>
        <v>2970000</v>
      </c>
      <c r="I8" s="135" t="s">
        <v>195</v>
      </c>
    </row>
    <row r="9" spans="1:9" ht="16.5" customHeight="1">
      <c r="A9" s="105"/>
      <c r="B9" s="112" t="s">
        <v>24</v>
      </c>
      <c r="C9" s="113" t="s">
        <v>25</v>
      </c>
      <c r="D9" s="114" t="e">
        <f>#REF!</f>
        <v>#REF!</v>
      </c>
      <c r="E9" s="115" t="s">
        <v>7</v>
      </c>
      <c r="F9" s="116"/>
      <c r="G9" s="120" t="s">
        <v>26</v>
      </c>
      <c r="H9" s="121">
        <f>SUM(H3:H8)</f>
        <v>4740550</v>
      </c>
      <c r="I9" s="122"/>
    </row>
    <row r="10" spans="1:9" ht="16.5" customHeight="1">
      <c r="A10" s="105"/>
      <c r="B10" s="112" t="s">
        <v>27</v>
      </c>
      <c r="C10" s="113" t="s">
        <v>28</v>
      </c>
      <c r="D10" s="114" t="e">
        <f>#REF!</f>
        <v>#REF!</v>
      </c>
      <c r="E10" s="114" t="s">
        <v>7</v>
      </c>
      <c r="F10" s="116"/>
    </row>
    <row r="11" spans="1:9" ht="16.5" customHeight="1">
      <c r="A11" s="105"/>
      <c r="B11" s="112" t="s">
        <v>29</v>
      </c>
      <c r="C11" s="113" t="s">
        <v>30</v>
      </c>
      <c r="D11" s="114" t="e">
        <f>#REF!</f>
        <v>#REF!</v>
      </c>
      <c r="E11" s="114" t="s">
        <v>7</v>
      </c>
      <c r="F11" s="116"/>
    </row>
    <row r="12" spans="1:9" ht="16.5" customHeight="1">
      <c r="A12" s="105"/>
      <c r="B12" s="112" t="s">
        <v>31</v>
      </c>
      <c r="C12" s="113" t="s">
        <v>32</v>
      </c>
      <c r="D12" s="114" t="e">
        <f>#REF!</f>
        <v>#REF!</v>
      </c>
      <c r="E12" s="114" t="s">
        <v>7</v>
      </c>
      <c r="F12" s="116"/>
      <c r="G12" s="187" t="s">
        <v>137</v>
      </c>
      <c r="H12" s="118">
        <f>37*33000</f>
        <v>1221000</v>
      </c>
      <c r="I12" s="145" t="s">
        <v>183</v>
      </c>
    </row>
    <row r="13" spans="1:9" ht="16.5" customHeight="1">
      <c r="A13" s="191"/>
      <c r="B13" s="112" t="s">
        <v>33</v>
      </c>
      <c r="C13" s="113" t="s">
        <v>34</v>
      </c>
      <c r="D13" s="114" t="e">
        <f>#REF!</f>
        <v>#REF!</v>
      </c>
      <c r="E13" s="114" t="s">
        <v>7</v>
      </c>
      <c r="F13" s="116"/>
      <c r="G13" s="188"/>
      <c r="H13" s="118">
        <v>634700</v>
      </c>
      <c r="I13" s="145" t="s">
        <v>189</v>
      </c>
    </row>
    <row r="14" spans="1:9" ht="16.5" customHeight="1">
      <c r="A14" s="192"/>
      <c r="B14" s="112" t="s">
        <v>33</v>
      </c>
      <c r="C14" s="113" t="s">
        <v>35</v>
      </c>
      <c r="D14" s="114" t="e">
        <f>#REF!</f>
        <v>#REF!</v>
      </c>
      <c r="E14" s="114" t="s">
        <v>7</v>
      </c>
      <c r="F14" s="116"/>
      <c r="G14" s="188"/>
      <c r="H14" s="118">
        <f>H12+H13</f>
        <v>1855700</v>
      </c>
      <c r="I14" s="146" t="s">
        <v>190</v>
      </c>
    </row>
    <row r="15" spans="1:9" ht="16.5" customHeight="1">
      <c r="A15" s="192"/>
      <c r="B15" s="112" t="s">
        <v>36</v>
      </c>
      <c r="C15" s="113" t="s">
        <v>37</v>
      </c>
      <c r="D15" s="114" t="e">
        <f>#REF!</f>
        <v>#REF!</v>
      </c>
      <c r="E15" s="114" t="s">
        <v>7</v>
      </c>
      <c r="F15" s="116"/>
    </row>
    <row r="16" spans="1:9" ht="16.5" customHeight="1">
      <c r="A16" s="105"/>
      <c r="B16" s="112" t="s">
        <v>38</v>
      </c>
      <c r="C16" s="113" t="s">
        <v>39</v>
      </c>
      <c r="D16" s="114" t="e">
        <f>#REF!</f>
        <v>#REF!</v>
      </c>
      <c r="E16" s="114" t="s">
        <v>7</v>
      </c>
      <c r="F16" s="116"/>
    </row>
    <row r="17" spans="1:8" ht="16.5" customHeight="1">
      <c r="A17" s="105"/>
      <c r="B17" s="112" t="s">
        <v>40</v>
      </c>
      <c r="C17" s="113" t="s">
        <v>41</v>
      </c>
      <c r="D17" s="114" t="e">
        <f>#REF!</f>
        <v>#REF!</v>
      </c>
      <c r="E17" s="114" t="s">
        <v>7</v>
      </c>
      <c r="F17" s="116"/>
    </row>
    <row r="18" spans="1:8" ht="16.5" customHeight="1">
      <c r="A18" s="105"/>
      <c r="B18" s="112" t="s">
        <v>42</v>
      </c>
      <c r="C18" s="113" t="s">
        <v>43</v>
      </c>
      <c r="D18" s="114" t="e">
        <f>#REF!</f>
        <v>#REF!</v>
      </c>
      <c r="E18" s="114" t="s">
        <v>7</v>
      </c>
      <c r="F18" s="116"/>
    </row>
    <row r="19" spans="1:8" ht="16.5" customHeight="1">
      <c r="A19" s="105"/>
      <c r="B19" s="112" t="s">
        <v>44</v>
      </c>
      <c r="C19" s="113" t="s">
        <v>45</v>
      </c>
      <c r="D19" s="114" t="e">
        <f>#REF!</f>
        <v>#REF!</v>
      </c>
      <c r="E19" s="114" t="s">
        <v>7</v>
      </c>
      <c r="F19" s="116"/>
    </row>
    <row r="20" spans="1:8" ht="16.5" customHeight="1">
      <c r="A20" s="105"/>
      <c r="B20" s="112" t="s">
        <v>46</v>
      </c>
      <c r="C20" s="113" t="s">
        <v>47</v>
      </c>
      <c r="D20" s="114" t="e">
        <f>#REF!</f>
        <v>#REF!</v>
      </c>
      <c r="E20" s="114" t="s">
        <v>7</v>
      </c>
      <c r="F20" s="116"/>
    </row>
    <row r="21" spans="1:8" ht="16.5" customHeight="1">
      <c r="A21" s="105"/>
      <c r="B21" s="112" t="s">
        <v>48</v>
      </c>
      <c r="C21" s="113" t="s">
        <v>49</v>
      </c>
      <c r="D21" s="114" t="e">
        <f>#REF!</f>
        <v>#REF!</v>
      </c>
      <c r="E21" s="114" t="s">
        <v>7</v>
      </c>
      <c r="F21" s="116"/>
    </row>
    <row r="22" spans="1:8" ht="16.5" customHeight="1">
      <c r="A22" s="105"/>
      <c r="B22" s="112" t="s">
        <v>50</v>
      </c>
      <c r="C22" s="113" t="s">
        <v>51</v>
      </c>
      <c r="D22" s="114" t="e">
        <f>#REF!</f>
        <v>#REF!</v>
      </c>
      <c r="E22" s="114" t="s">
        <v>7</v>
      </c>
      <c r="F22" s="116"/>
    </row>
    <row r="23" spans="1:8" ht="16.5" customHeight="1">
      <c r="A23" s="105"/>
      <c r="B23" s="116"/>
      <c r="C23" s="123"/>
      <c r="D23" s="114"/>
      <c r="E23" s="114"/>
      <c r="F23" s="116"/>
    </row>
    <row r="24" spans="1:8" ht="20.25" customHeight="1">
      <c r="A24" s="105"/>
      <c r="B24" s="116"/>
      <c r="C24" s="124" t="s">
        <v>52</v>
      </c>
      <c r="D24" s="125"/>
      <c r="E24" s="125"/>
      <c r="F24" s="126"/>
    </row>
    <row r="25" spans="1:8" ht="16.5" customHeight="1">
      <c r="A25" s="105"/>
      <c r="B25" s="116"/>
      <c r="C25" s="116"/>
      <c r="D25" s="116"/>
      <c r="E25" s="116"/>
      <c r="F25" s="116"/>
      <c r="G25" s="105"/>
      <c r="H25" s="105"/>
    </row>
    <row r="26" spans="1:8" ht="20.25" customHeight="1">
      <c r="A26" s="105"/>
      <c r="B26" s="116"/>
      <c r="C26" s="127" t="s">
        <v>53</v>
      </c>
      <c r="D26" s="189" t="e">
        <f>SUM(#REF!)</f>
        <v>#REF!</v>
      </c>
      <c r="E26" s="190"/>
      <c r="F26" s="128"/>
      <c r="G26" s="105"/>
      <c r="H26" s="105"/>
    </row>
    <row r="27" spans="1:8" ht="16.5" customHeight="1">
      <c r="A27" s="105"/>
      <c r="B27" s="116"/>
      <c r="C27" s="116"/>
      <c r="D27" s="116"/>
      <c r="E27" s="116"/>
      <c r="F27" s="116"/>
      <c r="G27" s="105"/>
      <c r="H27" s="105"/>
    </row>
    <row r="28" spans="1:8" ht="16.5" customHeight="1">
      <c r="A28" s="105"/>
      <c r="B28" s="105"/>
      <c r="C28" s="105"/>
      <c r="D28" s="105"/>
      <c r="E28" s="105"/>
      <c r="F28" s="105"/>
      <c r="G28" s="105"/>
      <c r="H28" s="105"/>
    </row>
    <row r="29" spans="1:8" ht="16.5" customHeight="1">
      <c r="A29" s="105"/>
      <c r="B29" s="105"/>
      <c r="C29" s="105"/>
      <c r="D29" s="105"/>
      <c r="E29" s="105"/>
      <c r="F29" s="105"/>
      <c r="G29" s="105"/>
      <c r="H29" s="105"/>
    </row>
    <row r="31" spans="1:8" ht="20.25" customHeight="1">
      <c r="A31" s="105"/>
      <c r="B31" s="129" t="s">
        <v>54</v>
      </c>
      <c r="C31" s="130">
        <v>45587</v>
      </c>
      <c r="D31" s="131"/>
      <c r="E31" s="131"/>
      <c r="F31" s="131"/>
      <c r="G31" s="105"/>
      <c r="H31" s="105"/>
    </row>
    <row r="32" spans="1:8" s="104" customFormat="1" ht="16.5" customHeight="1">
      <c r="A32" s="132"/>
      <c r="B32" s="132"/>
      <c r="C32" s="132"/>
      <c r="D32" s="132"/>
      <c r="E32" s="132"/>
      <c r="F32" s="132"/>
    </row>
    <row r="33" spans="1:6" ht="16.5" customHeight="1">
      <c r="A33" s="105"/>
      <c r="B33" s="133"/>
      <c r="C33" s="114"/>
      <c r="D33" s="115"/>
      <c r="E33" s="115"/>
      <c r="F33" s="116"/>
    </row>
    <row r="34" spans="1:6" ht="16.5" customHeight="1">
      <c r="A34" s="105"/>
      <c r="B34" s="106" t="s">
        <v>1</v>
      </c>
      <c r="C34" s="107" t="s">
        <v>2</v>
      </c>
      <c r="D34" s="107" t="s">
        <v>3</v>
      </c>
      <c r="E34" s="107" t="s">
        <v>4</v>
      </c>
      <c r="F34" s="108"/>
    </row>
    <row r="35" spans="1:6" ht="16.5" customHeight="1">
      <c r="A35" s="105"/>
      <c r="B35" s="112" t="s">
        <v>5</v>
      </c>
      <c r="C35" s="113" t="s">
        <v>6</v>
      </c>
      <c r="D35" s="114" t="e">
        <f>#REF!</f>
        <v>#REF!</v>
      </c>
      <c r="E35" s="114" t="s">
        <v>7</v>
      </c>
      <c r="F35" s="116"/>
    </row>
    <row r="36" spans="1:6" ht="16.5" customHeight="1">
      <c r="A36" s="105"/>
      <c r="B36" s="112" t="s">
        <v>9</v>
      </c>
      <c r="C36" s="113" t="s">
        <v>10</v>
      </c>
      <c r="D36" s="114" t="e">
        <f>#REF!</f>
        <v>#REF!</v>
      </c>
      <c r="E36" s="114" t="s">
        <v>7</v>
      </c>
      <c r="F36" s="116"/>
    </row>
    <row r="37" spans="1:6" ht="16.5" customHeight="1">
      <c r="A37" s="105"/>
      <c r="B37" s="112" t="s">
        <v>12</v>
      </c>
      <c r="C37" s="113" t="s">
        <v>13</v>
      </c>
      <c r="D37" s="114" t="e">
        <f>#REF!</f>
        <v>#REF!</v>
      </c>
      <c r="E37" s="114" t="s">
        <v>7</v>
      </c>
      <c r="F37" s="116"/>
    </row>
    <row r="38" spans="1:6" ht="16.5" customHeight="1">
      <c r="A38" s="105"/>
      <c r="B38" s="112" t="s">
        <v>15</v>
      </c>
      <c r="C38" s="113" t="s">
        <v>16</v>
      </c>
      <c r="D38" s="114" t="e">
        <f>#REF!</f>
        <v>#REF!</v>
      </c>
      <c r="E38" s="114" t="s">
        <v>7</v>
      </c>
      <c r="F38" s="116"/>
    </row>
    <row r="39" spans="1:6" ht="16.5" customHeight="1">
      <c r="A39" s="105"/>
      <c r="B39" s="112" t="s">
        <v>18</v>
      </c>
      <c r="C39" s="113" t="s">
        <v>19</v>
      </c>
      <c r="D39" s="114" t="e">
        <f>#REF!</f>
        <v>#REF!</v>
      </c>
      <c r="E39" s="114" t="s">
        <v>7</v>
      </c>
      <c r="F39" s="116"/>
    </row>
    <row r="40" spans="1:6" ht="16.5" customHeight="1">
      <c r="A40" s="105"/>
      <c r="B40" s="112" t="s">
        <v>21</v>
      </c>
      <c r="C40" s="113" t="s">
        <v>22</v>
      </c>
      <c r="D40" s="114" t="e">
        <f>#REF!</f>
        <v>#REF!</v>
      </c>
      <c r="E40" s="114" t="s">
        <v>7</v>
      </c>
      <c r="F40" s="116"/>
    </row>
    <row r="41" spans="1:6" ht="16.5" customHeight="1">
      <c r="A41" s="105"/>
      <c r="B41" s="112" t="s">
        <v>24</v>
      </c>
      <c r="C41" s="113" t="s">
        <v>25</v>
      </c>
      <c r="D41" s="114" t="e">
        <f>#REF!</f>
        <v>#REF!</v>
      </c>
      <c r="E41" s="114" t="s">
        <v>7</v>
      </c>
      <c r="F41" s="116"/>
    </row>
    <row r="42" spans="1:6" ht="16.5" customHeight="1">
      <c r="A42" s="105"/>
      <c r="B42" s="112" t="s">
        <v>27</v>
      </c>
      <c r="C42" s="113" t="s">
        <v>28</v>
      </c>
      <c r="D42" s="114" t="e">
        <f>#REF!</f>
        <v>#REF!</v>
      </c>
      <c r="E42" s="114" t="s">
        <v>7</v>
      </c>
      <c r="F42" s="116"/>
    </row>
    <row r="43" spans="1:6" ht="16.5" customHeight="1">
      <c r="A43" s="105"/>
      <c r="B43" s="112" t="s">
        <v>29</v>
      </c>
      <c r="C43" s="113" t="s">
        <v>30</v>
      </c>
      <c r="D43" s="114" t="e">
        <f>#REF!</f>
        <v>#REF!</v>
      </c>
      <c r="E43" s="114" t="s">
        <v>7</v>
      </c>
      <c r="F43" s="116"/>
    </row>
    <row r="44" spans="1:6" ht="16.5" customHeight="1">
      <c r="A44" s="105"/>
      <c r="B44" s="112" t="s">
        <v>31</v>
      </c>
      <c r="C44" s="113" t="s">
        <v>32</v>
      </c>
      <c r="D44" s="114" t="e">
        <f>#REF!</f>
        <v>#REF!</v>
      </c>
      <c r="E44" s="114" t="s">
        <v>7</v>
      </c>
      <c r="F44" s="116"/>
    </row>
    <row r="45" spans="1:6" ht="16.5" customHeight="1">
      <c r="A45" s="191"/>
      <c r="B45" s="112" t="s">
        <v>33</v>
      </c>
      <c r="C45" s="113" t="s">
        <v>34</v>
      </c>
      <c r="D45" s="114" t="e">
        <f>#REF!</f>
        <v>#REF!</v>
      </c>
      <c r="E45" s="114" t="s">
        <v>7</v>
      </c>
      <c r="F45" s="116"/>
    </row>
    <row r="46" spans="1:6" ht="16.5" customHeight="1">
      <c r="A46" s="192"/>
      <c r="B46" s="112" t="s">
        <v>33</v>
      </c>
      <c r="C46" s="113" t="s">
        <v>35</v>
      </c>
      <c r="D46" s="114" t="e">
        <f>#REF!</f>
        <v>#REF!</v>
      </c>
      <c r="E46" s="114" t="s">
        <v>7</v>
      </c>
      <c r="F46" s="116"/>
    </row>
    <row r="47" spans="1:6" ht="16.5" customHeight="1">
      <c r="A47" s="192"/>
      <c r="B47" s="112" t="s">
        <v>36</v>
      </c>
      <c r="C47" s="113" t="s">
        <v>37</v>
      </c>
      <c r="D47" s="114" t="e">
        <f>#REF!</f>
        <v>#REF!</v>
      </c>
      <c r="E47" s="114" t="s">
        <v>7</v>
      </c>
      <c r="F47" s="116"/>
    </row>
    <row r="48" spans="1:6" ht="16.5" customHeight="1">
      <c r="A48" s="105"/>
      <c r="B48" s="112" t="s">
        <v>38</v>
      </c>
      <c r="C48" s="113" t="s">
        <v>39</v>
      </c>
      <c r="D48" s="114" t="e">
        <f>#REF!</f>
        <v>#REF!</v>
      </c>
      <c r="E48" s="114" t="s">
        <v>7</v>
      </c>
      <c r="F48" s="116"/>
    </row>
    <row r="49" spans="1:8" ht="16.5" customHeight="1">
      <c r="A49" s="105"/>
      <c r="B49" s="112" t="s">
        <v>40</v>
      </c>
      <c r="C49" s="113" t="s">
        <v>41</v>
      </c>
      <c r="D49" s="114" t="e">
        <f>#REF!</f>
        <v>#REF!</v>
      </c>
      <c r="E49" s="114" t="s">
        <v>7</v>
      </c>
      <c r="F49" s="116"/>
    </row>
    <row r="50" spans="1:8" ht="16.5" customHeight="1">
      <c r="A50" s="105"/>
      <c r="B50" s="112" t="s">
        <v>42</v>
      </c>
      <c r="C50" s="113" t="s">
        <v>43</v>
      </c>
      <c r="D50" s="114" t="e">
        <f>#REF!</f>
        <v>#REF!</v>
      </c>
      <c r="E50" s="114" t="s">
        <v>7</v>
      </c>
      <c r="F50" s="116"/>
    </row>
    <row r="51" spans="1:8" ht="16.5" customHeight="1">
      <c r="A51" s="105"/>
      <c r="B51" s="112" t="s">
        <v>44</v>
      </c>
      <c r="C51" s="113" t="s">
        <v>45</v>
      </c>
      <c r="D51" s="114" t="e">
        <f>#REF!</f>
        <v>#REF!</v>
      </c>
      <c r="E51" s="114" t="s">
        <v>7</v>
      </c>
      <c r="F51" s="116"/>
    </row>
    <row r="52" spans="1:8" ht="16.5" customHeight="1">
      <c r="A52" s="105"/>
      <c r="B52" s="112" t="s">
        <v>46</v>
      </c>
      <c r="C52" s="113" t="s">
        <v>47</v>
      </c>
      <c r="D52" s="114" t="e">
        <f>#REF!</f>
        <v>#REF!</v>
      </c>
      <c r="E52" s="114" t="s">
        <v>7</v>
      </c>
      <c r="F52" s="116"/>
    </row>
    <row r="53" spans="1:8" ht="16.5" customHeight="1">
      <c r="A53" s="105"/>
      <c r="B53" s="112" t="s">
        <v>48</v>
      </c>
      <c r="C53" s="113" t="s">
        <v>49</v>
      </c>
      <c r="D53" s="114" t="e">
        <f>#REF!</f>
        <v>#REF!</v>
      </c>
      <c r="E53" s="114" t="s">
        <v>7</v>
      </c>
      <c r="F53" s="116"/>
    </row>
    <row r="54" spans="1:8" ht="16.5" customHeight="1">
      <c r="A54" s="105"/>
      <c r="B54" s="112" t="s">
        <v>50</v>
      </c>
      <c r="C54" s="113" t="s">
        <v>51</v>
      </c>
      <c r="D54" s="114" t="e">
        <f>#REF!</f>
        <v>#REF!</v>
      </c>
      <c r="E54" s="114" t="s">
        <v>7</v>
      </c>
      <c r="F54" s="116"/>
    </row>
    <row r="55" spans="1:8" ht="16.5" customHeight="1">
      <c r="A55" s="105"/>
      <c r="B55" s="116"/>
      <c r="C55" s="123"/>
      <c r="D55" s="114"/>
      <c r="E55" s="114"/>
      <c r="F55" s="116"/>
    </row>
    <row r="56" spans="1:8" ht="20.25" customHeight="1">
      <c r="A56" s="105"/>
      <c r="B56" s="116"/>
      <c r="C56" s="124" t="s">
        <v>52</v>
      </c>
      <c r="D56" s="125"/>
      <c r="E56" s="125"/>
      <c r="F56" s="126"/>
    </row>
    <row r="57" spans="1:8" ht="16.5" customHeight="1">
      <c r="A57" s="105"/>
      <c r="B57" s="116"/>
      <c r="C57" s="116"/>
      <c r="D57" s="116"/>
      <c r="E57" s="116"/>
      <c r="F57" s="116"/>
      <c r="G57" s="105"/>
      <c r="H57" s="105"/>
    </row>
    <row r="58" spans="1:8" ht="20.25" customHeight="1">
      <c r="A58" s="105"/>
      <c r="B58" s="116"/>
      <c r="C58" s="127" t="s">
        <v>53</v>
      </c>
      <c r="D58" s="189" t="e">
        <f>SUM(#REF!)</f>
        <v>#REF!</v>
      </c>
      <c r="E58" s="190"/>
      <c r="F58" s="128"/>
      <c r="G58" s="105"/>
      <c r="H58" s="105"/>
    </row>
    <row r="63" spans="1:8" ht="16.5" customHeight="1">
      <c r="A63" s="105"/>
      <c r="B63" s="105"/>
      <c r="C63" s="105"/>
      <c r="D63" s="105"/>
      <c r="E63" s="105"/>
      <c r="F63" s="105"/>
      <c r="G63" s="105"/>
      <c r="H63" s="105"/>
    </row>
    <row r="65" spans="1:8" ht="20.25" customHeight="1">
      <c r="A65" s="105"/>
      <c r="B65" s="129" t="s">
        <v>55</v>
      </c>
      <c r="C65" s="130">
        <v>45587</v>
      </c>
      <c r="D65" s="131"/>
      <c r="E65" s="131"/>
      <c r="F65" s="131"/>
      <c r="G65" s="105"/>
      <c r="H65" s="105"/>
    </row>
    <row r="66" spans="1:8" s="104" customFormat="1" ht="16.5" customHeight="1">
      <c r="A66" s="132"/>
      <c r="B66" s="132"/>
      <c r="C66" s="132"/>
      <c r="D66" s="132"/>
      <c r="E66" s="132"/>
      <c r="F66" s="132"/>
    </row>
    <row r="67" spans="1:8" ht="16.5" customHeight="1">
      <c r="A67" s="105"/>
      <c r="B67" s="133"/>
      <c r="C67" s="114"/>
      <c r="D67" s="115"/>
      <c r="E67" s="115"/>
      <c r="F67" s="116"/>
    </row>
    <row r="68" spans="1:8" ht="16.5" customHeight="1">
      <c r="A68" s="105"/>
      <c r="B68" s="106" t="s">
        <v>1</v>
      </c>
      <c r="C68" s="107" t="s">
        <v>2</v>
      </c>
      <c r="D68" s="107" t="s">
        <v>3</v>
      </c>
      <c r="E68" s="107" t="s">
        <v>4</v>
      </c>
      <c r="F68" s="108"/>
    </row>
    <row r="69" spans="1:8" ht="16.5" customHeight="1">
      <c r="A69" s="105"/>
      <c r="B69" s="112" t="s">
        <v>5</v>
      </c>
      <c r="C69" s="113" t="s">
        <v>6</v>
      </c>
      <c r="D69" s="114" t="e">
        <f>#REF!</f>
        <v>#REF!</v>
      </c>
      <c r="E69" s="114" t="s">
        <v>7</v>
      </c>
      <c r="F69" s="116"/>
    </row>
    <row r="70" spans="1:8" ht="16.5" customHeight="1">
      <c r="A70" s="105"/>
      <c r="B70" s="112" t="s">
        <v>9</v>
      </c>
      <c r="C70" s="113" t="s">
        <v>10</v>
      </c>
      <c r="D70" s="114" t="e">
        <f>#REF!</f>
        <v>#REF!</v>
      </c>
      <c r="E70" s="114" t="s">
        <v>7</v>
      </c>
      <c r="F70" s="116"/>
    </row>
    <row r="71" spans="1:8" ht="16.5" customHeight="1">
      <c r="A71" s="105"/>
      <c r="B71" s="112" t="s">
        <v>12</v>
      </c>
      <c r="C71" s="113" t="s">
        <v>13</v>
      </c>
      <c r="D71" s="114" t="e">
        <f>#REF!</f>
        <v>#REF!</v>
      </c>
      <c r="E71" s="114" t="s">
        <v>7</v>
      </c>
      <c r="F71" s="116"/>
    </row>
    <row r="72" spans="1:8" ht="16.5" customHeight="1">
      <c r="A72" s="105"/>
      <c r="B72" s="112" t="s">
        <v>15</v>
      </c>
      <c r="C72" s="113" t="s">
        <v>16</v>
      </c>
      <c r="D72" s="114" t="e">
        <f>#REF!</f>
        <v>#REF!</v>
      </c>
      <c r="E72" s="114" t="s">
        <v>7</v>
      </c>
      <c r="F72" s="116"/>
    </row>
    <row r="73" spans="1:8" ht="16.5" customHeight="1">
      <c r="A73" s="105"/>
      <c r="B73" s="112" t="s">
        <v>18</v>
      </c>
      <c r="C73" s="113" t="s">
        <v>19</v>
      </c>
      <c r="D73" s="114" t="e">
        <f>#REF!</f>
        <v>#REF!</v>
      </c>
      <c r="E73" s="114" t="s">
        <v>7</v>
      </c>
      <c r="F73" s="116"/>
    </row>
    <row r="74" spans="1:8" ht="16.5" customHeight="1">
      <c r="A74" s="105"/>
      <c r="B74" s="112" t="s">
        <v>21</v>
      </c>
      <c r="C74" s="113" t="s">
        <v>22</v>
      </c>
      <c r="D74" s="114" t="e">
        <f>#REF!</f>
        <v>#REF!</v>
      </c>
      <c r="E74" s="114" t="s">
        <v>7</v>
      </c>
      <c r="F74" s="116"/>
    </row>
    <row r="75" spans="1:8" ht="16.5" customHeight="1">
      <c r="A75" s="105"/>
      <c r="B75" s="112" t="s">
        <v>24</v>
      </c>
      <c r="C75" s="113" t="s">
        <v>25</v>
      </c>
      <c r="D75" s="114" t="e">
        <f>#REF!</f>
        <v>#REF!</v>
      </c>
      <c r="E75" s="114" t="s">
        <v>7</v>
      </c>
      <c r="F75" s="116"/>
    </row>
    <row r="76" spans="1:8" ht="16.5" customHeight="1">
      <c r="A76" s="105"/>
      <c r="B76" s="112" t="s">
        <v>27</v>
      </c>
      <c r="C76" s="113" t="s">
        <v>28</v>
      </c>
      <c r="D76" s="114" t="e">
        <f>#REF!</f>
        <v>#REF!</v>
      </c>
      <c r="E76" s="114" t="s">
        <v>7</v>
      </c>
      <c r="F76" s="116"/>
    </row>
    <row r="77" spans="1:8" ht="16.5" customHeight="1">
      <c r="A77" s="105"/>
      <c r="B77" s="112" t="s">
        <v>29</v>
      </c>
      <c r="C77" s="113" t="s">
        <v>30</v>
      </c>
      <c r="D77" s="114" t="e">
        <f>#REF!</f>
        <v>#REF!</v>
      </c>
      <c r="E77" s="114" t="s">
        <v>7</v>
      </c>
      <c r="F77" s="116"/>
    </row>
    <row r="78" spans="1:8" ht="16.5" customHeight="1">
      <c r="A78" s="105"/>
      <c r="B78" s="112" t="s">
        <v>31</v>
      </c>
      <c r="C78" s="113" t="s">
        <v>32</v>
      </c>
      <c r="D78" s="114" t="e">
        <f>#REF!</f>
        <v>#REF!</v>
      </c>
      <c r="E78" s="114" t="s">
        <v>7</v>
      </c>
      <c r="F78" s="116"/>
    </row>
    <row r="79" spans="1:8" ht="16.5" customHeight="1">
      <c r="A79" s="191"/>
      <c r="B79" s="112" t="s">
        <v>33</v>
      </c>
      <c r="C79" s="113" t="s">
        <v>34</v>
      </c>
      <c r="D79" s="114" t="e">
        <f>#REF!</f>
        <v>#REF!</v>
      </c>
      <c r="E79" s="114" t="s">
        <v>7</v>
      </c>
      <c r="F79" s="116"/>
    </row>
    <row r="80" spans="1:8" ht="16.5" customHeight="1">
      <c r="A80" s="192"/>
      <c r="B80" s="112" t="s">
        <v>33</v>
      </c>
      <c r="C80" s="113" t="s">
        <v>35</v>
      </c>
      <c r="D80" s="114" t="e">
        <f>#REF!</f>
        <v>#REF!</v>
      </c>
      <c r="E80" s="114" t="s">
        <v>7</v>
      </c>
      <c r="F80" s="116"/>
    </row>
    <row r="81" spans="1:8" ht="16.5" customHeight="1">
      <c r="A81" s="192"/>
      <c r="B81" s="112" t="s">
        <v>36</v>
      </c>
      <c r="C81" s="113" t="s">
        <v>37</v>
      </c>
      <c r="D81" s="114" t="e">
        <f>#REF!</f>
        <v>#REF!</v>
      </c>
      <c r="E81" s="114" t="s">
        <v>7</v>
      </c>
      <c r="F81" s="116"/>
    </row>
    <row r="82" spans="1:8" ht="16.5" customHeight="1">
      <c r="A82" s="105"/>
      <c r="B82" s="112" t="s">
        <v>38</v>
      </c>
      <c r="C82" s="113" t="s">
        <v>39</v>
      </c>
      <c r="D82" s="114" t="e">
        <f>#REF!</f>
        <v>#REF!</v>
      </c>
      <c r="E82" s="114" t="s">
        <v>7</v>
      </c>
      <c r="F82" s="116"/>
    </row>
    <row r="83" spans="1:8" ht="16.5" customHeight="1">
      <c r="A83" s="105"/>
      <c r="B83" s="112" t="s">
        <v>40</v>
      </c>
      <c r="C83" s="113" t="s">
        <v>41</v>
      </c>
      <c r="D83" s="114" t="e">
        <f>#REF!</f>
        <v>#REF!</v>
      </c>
      <c r="E83" s="114" t="s">
        <v>7</v>
      </c>
      <c r="F83" s="116"/>
    </row>
    <row r="84" spans="1:8" ht="16.5" customHeight="1">
      <c r="A84" s="105"/>
      <c r="B84" s="112" t="s">
        <v>42</v>
      </c>
      <c r="C84" s="113" t="s">
        <v>43</v>
      </c>
      <c r="D84" s="114" t="e">
        <f>#REF!</f>
        <v>#REF!</v>
      </c>
      <c r="E84" s="114" t="s">
        <v>7</v>
      </c>
      <c r="F84" s="116"/>
    </row>
    <row r="85" spans="1:8" ht="16.5" customHeight="1">
      <c r="A85" s="105"/>
      <c r="B85" s="112" t="s">
        <v>44</v>
      </c>
      <c r="C85" s="113" t="s">
        <v>45</v>
      </c>
      <c r="D85" s="114" t="e">
        <f>#REF!</f>
        <v>#REF!</v>
      </c>
      <c r="E85" s="114" t="s">
        <v>7</v>
      </c>
      <c r="F85" s="116"/>
    </row>
    <row r="86" spans="1:8" ht="16.5" customHeight="1">
      <c r="A86" s="105"/>
      <c r="B86" s="112" t="s">
        <v>46</v>
      </c>
      <c r="C86" s="113" t="s">
        <v>47</v>
      </c>
      <c r="D86" s="114" t="e">
        <f>#REF!</f>
        <v>#REF!</v>
      </c>
      <c r="E86" s="114" t="s">
        <v>7</v>
      </c>
      <c r="F86" s="116"/>
    </row>
    <row r="87" spans="1:8" ht="16.5" customHeight="1">
      <c r="A87" s="105"/>
      <c r="B87" s="112" t="s">
        <v>48</v>
      </c>
      <c r="C87" s="113" t="s">
        <v>49</v>
      </c>
      <c r="D87" s="114" t="e">
        <f>#REF!</f>
        <v>#REF!</v>
      </c>
      <c r="E87" s="114" t="s">
        <v>7</v>
      </c>
      <c r="F87" s="116"/>
    </row>
    <row r="88" spans="1:8" ht="16.5" customHeight="1">
      <c r="A88" s="105"/>
      <c r="B88" s="112" t="s">
        <v>50</v>
      </c>
      <c r="C88" s="113" t="s">
        <v>51</v>
      </c>
      <c r="D88" s="114" t="e">
        <f>#REF!</f>
        <v>#REF!</v>
      </c>
      <c r="E88" s="114" t="s">
        <v>7</v>
      </c>
      <c r="F88" s="116"/>
    </row>
    <row r="89" spans="1:8" ht="16.5" customHeight="1">
      <c r="A89" s="105"/>
      <c r="B89" s="116"/>
      <c r="C89" s="123"/>
      <c r="D89" s="114"/>
      <c r="E89" s="114"/>
      <c r="F89" s="116"/>
    </row>
    <row r="90" spans="1:8" ht="20.25" customHeight="1">
      <c r="A90" s="105"/>
      <c r="B90" s="116"/>
      <c r="C90" s="124" t="s">
        <v>52</v>
      </c>
      <c r="D90" s="125"/>
      <c r="E90" s="125"/>
      <c r="F90" s="126"/>
    </row>
    <row r="91" spans="1:8" ht="16.5" customHeight="1">
      <c r="A91" s="105"/>
      <c r="B91" s="116"/>
      <c r="C91" s="116"/>
      <c r="D91" s="116"/>
      <c r="E91" s="116"/>
      <c r="F91" s="116"/>
      <c r="G91" s="105"/>
      <c r="H91" s="105"/>
    </row>
    <row r="92" spans="1:8" ht="20.25" customHeight="1">
      <c r="A92" s="105"/>
      <c r="B92" s="116"/>
      <c r="C92" s="127" t="s">
        <v>53</v>
      </c>
      <c r="D92" s="189" t="e">
        <f>SUM(#REF!)</f>
        <v>#REF!</v>
      </c>
      <c r="E92" s="190"/>
      <c r="F92" s="128"/>
      <c r="G92" s="105"/>
      <c r="H92" s="105"/>
    </row>
  </sheetData>
  <mergeCells count="7">
    <mergeCell ref="G12:G14"/>
    <mergeCell ref="D26:E26"/>
    <mergeCell ref="D58:E58"/>
    <mergeCell ref="D92:E92"/>
    <mergeCell ref="A13:A15"/>
    <mergeCell ref="A45:A47"/>
    <mergeCell ref="A79:A81"/>
  </mergeCells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"/>
  <sheetViews>
    <sheetView zoomScaleNormal="100" workbookViewId="0">
      <selection activeCell="C4" sqref="C4"/>
    </sheetView>
  </sheetViews>
  <sheetFormatPr defaultColWidth="8.88671875" defaultRowHeight="15"/>
  <cols>
    <col min="1" max="1" width="8.88671875" style="79"/>
    <col min="2" max="2" width="25.5546875" style="79" customWidth="1"/>
    <col min="3" max="4" width="13.109375" style="79" customWidth="1"/>
    <col min="5" max="5" width="8.88671875" style="79"/>
    <col min="6" max="6" width="13.6640625" style="79" customWidth="1"/>
    <col min="7" max="16384" width="8.88671875" style="79"/>
  </cols>
  <sheetData>
    <row r="1" spans="2:6" ht="15.6" thickBot="1">
      <c r="C1" s="80"/>
      <c r="D1" s="81"/>
    </row>
    <row r="2" spans="2:6" ht="15.6">
      <c r="C2" s="193" t="s">
        <v>184</v>
      </c>
      <c r="D2" s="194"/>
      <c r="F2" s="149" t="s">
        <v>185</v>
      </c>
    </row>
    <row r="3" spans="2:6" ht="16.2" thickBot="1">
      <c r="B3" s="82" t="s">
        <v>134</v>
      </c>
      <c r="C3" s="148">
        <v>699</v>
      </c>
      <c r="D3" s="83">
        <f t="shared" ref="D3" si="0">C3/1.13</f>
        <v>618.5840707964602</v>
      </c>
      <c r="F3" s="150">
        <v>250</v>
      </c>
    </row>
    <row r="4" spans="2:6">
      <c r="B4" s="82" t="s">
        <v>180</v>
      </c>
      <c r="C4" s="84">
        <v>0.65</v>
      </c>
      <c r="D4" s="83"/>
    </row>
    <row r="5" spans="2:6">
      <c r="B5" s="82" t="s">
        <v>181</v>
      </c>
      <c r="C5" s="84">
        <v>0.85</v>
      </c>
      <c r="D5" s="83"/>
    </row>
    <row r="6" spans="2:6">
      <c r="B6" s="82" t="s">
        <v>60</v>
      </c>
      <c r="C6" s="84">
        <v>0.3</v>
      </c>
      <c r="D6" s="85"/>
    </row>
    <row r="7" spans="2:6">
      <c r="B7" s="82" t="s">
        <v>61</v>
      </c>
      <c r="C7" s="84">
        <v>0.75</v>
      </c>
      <c r="D7" s="85"/>
    </row>
    <row r="8" spans="2:6">
      <c r="B8" s="82" t="s">
        <v>62</v>
      </c>
      <c r="C8" s="84">
        <v>0.05</v>
      </c>
      <c r="D8" s="85"/>
    </row>
    <row r="9" spans="2:6">
      <c r="B9" s="82" t="s">
        <v>63</v>
      </c>
      <c r="C9" s="84">
        <v>0.72</v>
      </c>
      <c r="D9" s="85"/>
    </row>
    <row r="10" spans="2:6" ht="16.2" thickBot="1">
      <c r="B10" s="82" t="s">
        <v>135</v>
      </c>
      <c r="C10" s="151">
        <f>C3*C6*C7+C3*C8*C9+C3*C4*C5</f>
        <v>568.63649999999996</v>
      </c>
      <c r="D10" s="152">
        <f>C10/1.13</f>
        <v>503.21814159292035</v>
      </c>
    </row>
  </sheetData>
  <mergeCells count="1">
    <mergeCell ref="C2:D2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82F2-5B69-41C9-9EDA-D8E8D18B013C}">
  <dimension ref="B2:I24"/>
  <sheetViews>
    <sheetView showGridLines="0" workbookViewId="0">
      <selection activeCell="H20" sqref="H20"/>
    </sheetView>
  </sheetViews>
  <sheetFormatPr defaultColWidth="8.88671875" defaultRowHeight="13.8"/>
  <cols>
    <col min="1" max="1" width="4" style="137" customWidth="1"/>
    <col min="2" max="2" width="14.88671875" style="137" customWidth="1"/>
    <col min="3" max="3" width="15" style="137" customWidth="1"/>
    <col min="4" max="4" width="18.33203125" style="137" bestFit="1" customWidth="1"/>
    <col min="5" max="5" width="21.21875" style="137" bestFit="1" customWidth="1"/>
    <col min="6" max="6" width="15" style="137" customWidth="1"/>
    <col min="7" max="7" width="18.33203125" style="137" bestFit="1" customWidth="1"/>
    <col min="8" max="8" width="21.21875" style="137" bestFit="1" customWidth="1"/>
    <col min="9" max="9" width="32.33203125" style="137" bestFit="1" customWidth="1"/>
    <col min="10" max="16384" width="8.88671875" style="137"/>
  </cols>
  <sheetData>
    <row r="2" spans="2:9" ht="20.399999999999999">
      <c r="B2" s="136" t="s">
        <v>153</v>
      </c>
    </row>
    <row r="3" spans="2:9" ht="15">
      <c r="B3" s="138" t="s">
        <v>239</v>
      </c>
    </row>
    <row r="5" spans="2:9" ht="16.2">
      <c r="B5" s="141" t="s">
        <v>154</v>
      </c>
      <c r="C5" s="141" t="s">
        <v>155</v>
      </c>
      <c r="D5" s="141" t="s">
        <v>156</v>
      </c>
      <c r="E5" s="141" t="s">
        <v>157</v>
      </c>
      <c r="F5" s="141" t="s">
        <v>158</v>
      </c>
      <c r="G5" s="141" t="s">
        <v>159</v>
      </c>
      <c r="H5" s="141" t="s">
        <v>160</v>
      </c>
      <c r="I5" s="141" t="s">
        <v>0</v>
      </c>
    </row>
    <row r="6" spans="2:9" ht="15.6">
      <c r="B6" s="162" t="s">
        <v>161</v>
      </c>
      <c r="C6" s="162">
        <v>12802</v>
      </c>
      <c r="D6" s="162">
        <v>1.28</v>
      </c>
      <c r="E6" s="162" t="s">
        <v>218</v>
      </c>
      <c r="F6" s="162">
        <v>26994</v>
      </c>
      <c r="G6" s="162">
        <v>2.7</v>
      </c>
      <c r="H6" s="162" t="s">
        <v>218</v>
      </c>
      <c r="I6" s="140"/>
    </row>
    <row r="7" spans="2:9" ht="15.6">
      <c r="B7" s="162" t="s">
        <v>162</v>
      </c>
      <c r="C7" s="162">
        <v>14560</v>
      </c>
      <c r="D7" s="162">
        <v>1.46</v>
      </c>
      <c r="E7" s="162" t="s">
        <v>219</v>
      </c>
      <c r="F7" s="162">
        <v>33818</v>
      </c>
      <c r="G7" s="162">
        <v>3.38</v>
      </c>
      <c r="H7" s="162" t="s">
        <v>219</v>
      </c>
      <c r="I7" s="142"/>
    </row>
    <row r="8" spans="2:9" ht="15.6">
      <c r="B8" s="162" t="s">
        <v>163</v>
      </c>
      <c r="C8" s="162">
        <v>15749</v>
      </c>
      <c r="D8" s="162">
        <v>1.57</v>
      </c>
      <c r="E8" s="162" t="s">
        <v>220</v>
      </c>
      <c r="F8" s="162">
        <v>38762</v>
      </c>
      <c r="G8" s="162">
        <v>3.88</v>
      </c>
      <c r="H8" s="162" t="s">
        <v>220</v>
      </c>
      <c r="I8" s="140"/>
    </row>
    <row r="9" spans="2:9" ht="16.2">
      <c r="B9" s="163" t="s">
        <v>164</v>
      </c>
      <c r="C9" s="163">
        <v>16844</v>
      </c>
      <c r="D9" s="163">
        <v>1.68</v>
      </c>
      <c r="E9" s="163" t="s">
        <v>221</v>
      </c>
      <c r="F9" s="163">
        <v>43038</v>
      </c>
      <c r="G9" s="163">
        <v>4.3</v>
      </c>
      <c r="H9" s="163" t="s">
        <v>221</v>
      </c>
      <c r="I9" s="144" t="s">
        <v>236</v>
      </c>
    </row>
    <row r="10" spans="2:9" ht="15.6">
      <c r="B10" s="162" t="s">
        <v>165</v>
      </c>
      <c r="C10" s="162">
        <v>17814</v>
      </c>
      <c r="D10" s="162">
        <v>1.78</v>
      </c>
      <c r="E10" s="162" t="s">
        <v>222</v>
      </c>
      <c r="F10" s="162">
        <v>46691</v>
      </c>
      <c r="G10" s="162">
        <v>4.67</v>
      </c>
      <c r="H10" s="162" t="s">
        <v>222</v>
      </c>
      <c r="I10" s="140"/>
    </row>
    <row r="11" spans="2:9" ht="15.6">
      <c r="B11" s="162" t="s">
        <v>166</v>
      </c>
      <c r="C11" s="162">
        <v>18722</v>
      </c>
      <c r="D11" s="162">
        <v>1.87</v>
      </c>
      <c r="E11" s="162" t="s">
        <v>223</v>
      </c>
      <c r="F11" s="162">
        <v>50252</v>
      </c>
      <c r="G11" s="162">
        <v>5.03</v>
      </c>
      <c r="H11" s="162" t="s">
        <v>223</v>
      </c>
      <c r="I11" s="142"/>
    </row>
    <row r="12" spans="2:9" ht="15.6">
      <c r="B12" s="162" t="s">
        <v>167</v>
      </c>
      <c r="C12" s="162">
        <v>19575</v>
      </c>
      <c r="D12" s="162">
        <v>1.96</v>
      </c>
      <c r="E12" s="162" t="s">
        <v>224</v>
      </c>
      <c r="F12" s="162">
        <v>53567</v>
      </c>
      <c r="G12" s="162">
        <v>5.36</v>
      </c>
      <c r="H12" s="162" t="s">
        <v>224</v>
      </c>
      <c r="I12" s="140"/>
    </row>
    <row r="13" spans="2:9" ht="15.6">
      <c r="B13" s="162" t="s">
        <v>168</v>
      </c>
      <c r="C13" s="162">
        <v>20417</v>
      </c>
      <c r="D13" s="162">
        <v>2.04</v>
      </c>
      <c r="E13" s="162" t="s">
        <v>225</v>
      </c>
      <c r="F13" s="162">
        <v>57151</v>
      </c>
      <c r="G13" s="162">
        <v>5.72</v>
      </c>
      <c r="H13" s="162" t="s">
        <v>225</v>
      </c>
      <c r="I13" s="142"/>
    </row>
    <row r="14" spans="2:9" ht="15.6">
      <c r="B14" s="162" t="s">
        <v>169</v>
      </c>
      <c r="C14" s="162">
        <v>21323</v>
      </c>
      <c r="D14" s="162">
        <v>2.13</v>
      </c>
      <c r="E14" s="162" t="s">
        <v>226</v>
      </c>
      <c r="F14" s="162">
        <v>60448</v>
      </c>
      <c r="G14" s="162">
        <v>6.04</v>
      </c>
      <c r="H14" s="162" t="s">
        <v>226</v>
      </c>
      <c r="I14" s="140"/>
    </row>
    <row r="15" spans="2:9" ht="16.2">
      <c r="B15" s="163" t="s">
        <v>170</v>
      </c>
      <c r="C15" s="163">
        <v>22123</v>
      </c>
      <c r="D15" s="163">
        <v>2.21</v>
      </c>
      <c r="E15" s="163" t="s">
        <v>227</v>
      </c>
      <c r="F15" s="163">
        <v>63831</v>
      </c>
      <c r="G15" s="163">
        <v>6.38</v>
      </c>
      <c r="H15" s="163" t="s">
        <v>227</v>
      </c>
      <c r="I15" s="144" t="s">
        <v>237</v>
      </c>
    </row>
    <row r="16" spans="2:9" ht="15.6">
      <c r="B16" s="162" t="s">
        <v>171</v>
      </c>
      <c r="C16" s="162">
        <v>23071</v>
      </c>
      <c r="D16" s="162">
        <v>2.31</v>
      </c>
      <c r="E16" s="162" t="s">
        <v>228</v>
      </c>
      <c r="F16" s="162">
        <v>67315</v>
      </c>
      <c r="G16" s="162">
        <v>6.73</v>
      </c>
      <c r="H16" s="162" t="s">
        <v>228</v>
      </c>
      <c r="I16" s="140"/>
    </row>
    <row r="17" spans="2:9" ht="15.6">
      <c r="B17" s="162" t="s">
        <v>172</v>
      </c>
      <c r="C17" s="162">
        <v>24035</v>
      </c>
      <c r="D17" s="162">
        <v>2.4</v>
      </c>
      <c r="E17" s="162" t="s">
        <v>229</v>
      </c>
      <c r="F17" s="162">
        <v>70828</v>
      </c>
      <c r="G17" s="162">
        <v>7.08</v>
      </c>
      <c r="H17" s="162" t="s">
        <v>229</v>
      </c>
      <c r="I17" s="142"/>
    </row>
    <row r="18" spans="2:9" ht="15.6">
      <c r="B18" s="162" t="s">
        <v>173</v>
      </c>
      <c r="C18" s="162">
        <v>25058</v>
      </c>
      <c r="D18" s="162">
        <v>2.5099999999999998</v>
      </c>
      <c r="E18" s="162" t="s">
        <v>194</v>
      </c>
      <c r="F18" s="162">
        <v>74802</v>
      </c>
      <c r="G18" s="162">
        <v>7.48</v>
      </c>
      <c r="H18" s="162" t="s">
        <v>194</v>
      </c>
      <c r="I18" s="140"/>
    </row>
    <row r="19" spans="2:9" ht="15.6">
      <c r="B19" s="162" t="s">
        <v>174</v>
      </c>
      <c r="C19" s="162">
        <v>26081</v>
      </c>
      <c r="D19" s="162">
        <v>2.61</v>
      </c>
      <c r="E19" s="162" t="s">
        <v>230</v>
      </c>
      <c r="F19" s="162">
        <v>79059</v>
      </c>
      <c r="G19" s="162">
        <v>7.91</v>
      </c>
      <c r="H19" s="162" t="s">
        <v>230</v>
      </c>
      <c r="I19" s="142"/>
    </row>
    <row r="20" spans="2:9" ht="15.6">
      <c r="B20" s="162" t="s">
        <v>175</v>
      </c>
      <c r="C20" s="162">
        <v>27283</v>
      </c>
      <c r="D20" s="162">
        <v>2.73</v>
      </c>
      <c r="E20" s="162" t="s">
        <v>231</v>
      </c>
      <c r="F20" s="162">
        <v>83983</v>
      </c>
      <c r="G20" s="162">
        <v>8.4</v>
      </c>
      <c r="H20" s="162" t="s">
        <v>231</v>
      </c>
      <c r="I20" s="140"/>
    </row>
    <row r="21" spans="2:9" ht="15.6">
      <c r="B21" s="162" t="s">
        <v>176</v>
      </c>
      <c r="C21" s="162">
        <v>28721</v>
      </c>
      <c r="D21" s="162">
        <v>2.87</v>
      </c>
      <c r="E21" s="162" t="s">
        <v>232</v>
      </c>
      <c r="F21" s="162">
        <v>89343</v>
      </c>
      <c r="G21" s="162">
        <v>8.93</v>
      </c>
      <c r="H21" s="162" t="s">
        <v>232</v>
      </c>
      <c r="I21" s="142"/>
    </row>
    <row r="22" spans="2:9" ht="15.6">
      <c r="B22" s="162" t="s">
        <v>177</v>
      </c>
      <c r="C22" s="162">
        <v>30500</v>
      </c>
      <c r="D22" s="162">
        <v>3.05</v>
      </c>
      <c r="E22" s="162" t="s">
        <v>233</v>
      </c>
      <c r="F22" s="162">
        <v>96544</v>
      </c>
      <c r="G22" s="162">
        <v>9.65</v>
      </c>
      <c r="H22" s="162" t="s">
        <v>233</v>
      </c>
      <c r="I22" s="140"/>
    </row>
    <row r="23" spans="2:9" ht="16.2">
      <c r="B23" s="163" t="s">
        <v>178</v>
      </c>
      <c r="C23" s="163">
        <v>32793</v>
      </c>
      <c r="D23" s="163">
        <v>3.28</v>
      </c>
      <c r="E23" s="163" t="s">
        <v>234</v>
      </c>
      <c r="F23" s="163">
        <v>106182</v>
      </c>
      <c r="G23" s="163">
        <v>10.62</v>
      </c>
      <c r="H23" s="163" t="s">
        <v>234</v>
      </c>
      <c r="I23" s="144" t="s">
        <v>238</v>
      </c>
    </row>
    <row r="24" spans="2:9" ht="15.6">
      <c r="B24" s="162" t="s">
        <v>179</v>
      </c>
      <c r="C24" s="162">
        <v>36294</v>
      </c>
      <c r="D24" s="162">
        <v>3.63</v>
      </c>
      <c r="E24" s="162" t="s">
        <v>235</v>
      </c>
      <c r="F24" s="162">
        <v>120877</v>
      </c>
      <c r="G24" s="162">
        <v>12.09</v>
      </c>
      <c r="H24" s="162" t="s">
        <v>235</v>
      </c>
      <c r="I24" s="140"/>
    </row>
  </sheetData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3"/>
  <sheetViews>
    <sheetView showGridLines="0" workbookViewId="0">
      <selection activeCell="E23" sqref="E23"/>
    </sheetView>
  </sheetViews>
  <sheetFormatPr defaultColWidth="8.88671875" defaultRowHeight="15"/>
  <cols>
    <col min="1" max="1" width="4.77734375" style="79" customWidth="1"/>
    <col min="2" max="2" width="7.21875" style="79" customWidth="1"/>
    <col min="3" max="3" width="12.6640625" style="79" customWidth="1"/>
    <col min="4" max="4" width="15.5546875" style="79" customWidth="1"/>
    <col min="5" max="5" width="12.21875" style="79" customWidth="1"/>
    <col min="6" max="6" width="50.77734375" style="79" customWidth="1"/>
    <col min="7" max="7" width="11.44140625" style="79" customWidth="1"/>
    <col min="8" max="9" width="9.77734375" style="79" customWidth="1"/>
    <col min="10" max="10" width="47.5546875" style="79" customWidth="1"/>
    <col min="11" max="11" width="4.77734375" style="79" customWidth="1"/>
    <col min="12" max="13" width="7.21875" style="79" customWidth="1"/>
    <col min="14" max="14" width="8.6640625" style="79" customWidth="1"/>
    <col min="15" max="15" width="45.44140625" style="79" customWidth="1"/>
    <col min="16" max="16384" width="8.88671875" style="79"/>
  </cols>
  <sheetData>
    <row r="1" spans="2:8" ht="15.6" thickBot="1"/>
    <row r="2" spans="2:8" ht="15.6">
      <c r="B2" s="86"/>
      <c r="C2" s="198" t="s">
        <v>133</v>
      </c>
      <c r="D2" s="199"/>
      <c r="E2" s="200"/>
    </row>
    <row r="3" spans="2:8" ht="15.6">
      <c r="B3" s="87"/>
      <c r="C3" s="88" t="s">
        <v>129</v>
      </c>
      <c r="D3" s="88" t="s">
        <v>130</v>
      </c>
      <c r="E3" s="89" t="s">
        <v>188</v>
      </c>
      <c r="G3" s="90"/>
      <c r="H3" s="90"/>
    </row>
    <row r="4" spans="2:8">
      <c r="B4" s="87" t="s">
        <v>56</v>
      </c>
      <c r="C4" s="91">
        <f>D4*12</f>
        <v>21600</v>
      </c>
      <c r="D4" s="91">
        <v>1800</v>
      </c>
      <c r="E4" s="196" t="s">
        <v>186</v>
      </c>
      <c r="F4" s="195"/>
      <c r="G4" s="92"/>
      <c r="H4" s="92"/>
    </row>
    <row r="5" spans="2:8">
      <c r="B5" s="87" t="s">
        <v>57</v>
      </c>
      <c r="C5" s="91">
        <f t="shared" ref="C5:C6" si="0">D5*12</f>
        <v>21600</v>
      </c>
      <c r="D5" s="91">
        <v>1800</v>
      </c>
      <c r="E5" s="197"/>
      <c r="F5" s="195"/>
      <c r="G5" s="92"/>
      <c r="H5" s="92"/>
    </row>
    <row r="6" spans="2:8">
      <c r="B6" s="87" t="s">
        <v>58</v>
      </c>
      <c r="C6" s="91">
        <f t="shared" si="0"/>
        <v>21600</v>
      </c>
      <c r="D6" s="91">
        <v>1800</v>
      </c>
      <c r="E6" s="197"/>
      <c r="F6" s="195"/>
      <c r="G6" s="92"/>
      <c r="H6" s="92"/>
    </row>
    <row r="7" spans="2:8" ht="15.6" thickBot="1">
      <c r="B7" s="93" t="s">
        <v>59</v>
      </c>
      <c r="C7" s="94">
        <f>SUM(C4:C6)</f>
        <v>64800</v>
      </c>
      <c r="D7" s="94"/>
      <c r="E7" s="95"/>
    </row>
    <row r="9" spans="2:8" ht="15.6" thickBot="1"/>
    <row r="10" spans="2:8" ht="15.6">
      <c r="B10" s="86"/>
      <c r="C10" s="198" t="s">
        <v>131</v>
      </c>
      <c r="D10" s="199"/>
      <c r="E10" s="200"/>
    </row>
    <row r="11" spans="2:8" ht="15.6">
      <c r="B11" s="96"/>
      <c r="C11" s="88" t="s">
        <v>129</v>
      </c>
      <c r="D11" s="88" t="s">
        <v>130</v>
      </c>
      <c r="E11" s="97" t="s">
        <v>188</v>
      </c>
      <c r="G11" s="90"/>
      <c r="H11" s="90"/>
    </row>
    <row r="12" spans="2:8">
      <c r="B12" s="98" t="s">
        <v>56</v>
      </c>
      <c r="C12" s="91">
        <f>D12*12</f>
        <v>36000</v>
      </c>
      <c r="D12" s="91">
        <v>3000</v>
      </c>
      <c r="E12" s="196" t="s">
        <v>187</v>
      </c>
      <c r="F12" s="195"/>
      <c r="G12" s="99"/>
      <c r="H12" s="92"/>
    </row>
    <row r="13" spans="2:8">
      <c r="B13" s="96" t="s">
        <v>57</v>
      </c>
      <c r="C13" s="91">
        <f t="shared" ref="C13:C14" si="1">D13*12</f>
        <v>36000</v>
      </c>
      <c r="D13" s="91">
        <v>3000</v>
      </c>
      <c r="E13" s="197"/>
      <c r="F13" s="195"/>
      <c r="G13" s="99"/>
      <c r="H13" s="92"/>
    </row>
    <row r="14" spans="2:8">
      <c r="B14" s="98" t="s">
        <v>58</v>
      </c>
      <c r="C14" s="91">
        <f t="shared" si="1"/>
        <v>36000</v>
      </c>
      <c r="D14" s="91">
        <v>3000</v>
      </c>
      <c r="E14" s="197"/>
      <c r="F14" s="195"/>
      <c r="G14" s="99"/>
      <c r="H14" s="92"/>
    </row>
    <row r="15" spans="2:8" ht="15.6" thickBot="1">
      <c r="B15" s="100" t="s">
        <v>59</v>
      </c>
      <c r="C15" s="94">
        <f>SUM(C12:C14)</f>
        <v>108000</v>
      </c>
      <c r="D15" s="101"/>
      <c r="E15" s="102"/>
    </row>
    <row r="17" spans="2:8" ht="15.6" thickBot="1"/>
    <row r="18" spans="2:8" ht="15.6">
      <c r="B18" s="86"/>
      <c r="C18" s="198" t="s">
        <v>132</v>
      </c>
      <c r="D18" s="199"/>
      <c r="E18" s="200"/>
    </row>
    <row r="19" spans="2:8" ht="15.6">
      <c r="B19" s="87"/>
      <c r="C19" s="88" t="s">
        <v>129</v>
      </c>
      <c r="D19" s="88" t="s">
        <v>130</v>
      </c>
      <c r="E19" s="103" t="s">
        <v>188</v>
      </c>
      <c r="G19" s="90"/>
      <c r="H19" s="90"/>
    </row>
    <row r="20" spans="2:8">
      <c r="B20" s="87" t="s">
        <v>56</v>
      </c>
      <c r="C20" s="91">
        <f>D20*12</f>
        <v>14400</v>
      </c>
      <c r="D20" s="91">
        <v>1200</v>
      </c>
      <c r="E20" s="196" t="s">
        <v>241</v>
      </c>
      <c r="F20" s="195"/>
      <c r="G20" s="99"/>
      <c r="H20" s="92"/>
    </row>
    <row r="21" spans="2:8">
      <c r="B21" s="87" t="s">
        <v>57</v>
      </c>
      <c r="C21" s="91">
        <f t="shared" ref="C21:C22" si="2">D21*12</f>
        <v>14400</v>
      </c>
      <c r="D21" s="91">
        <v>1200</v>
      </c>
      <c r="E21" s="197"/>
      <c r="F21" s="195"/>
      <c r="G21" s="99"/>
      <c r="H21" s="92"/>
    </row>
    <row r="22" spans="2:8">
      <c r="B22" s="87" t="s">
        <v>58</v>
      </c>
      <c r="C22" s="91">
        <f t="shared" si="2"/>
        <v>14400</v>
      </c>
      <c r="D22" s="91">
        <v>1200</v>
      </c>
      <c r="E22" s="197"/>
      <c r="F22" s="195"/>
      <c r="G22" s="99"/>
      <c r="H22" s="92"/>
    </row>
    <row r="23" spans="2:8" ht="15.6" thickBot="1">
      <c r="B23" s="93" t="s">
        <v>59</v>
      </c>
      <c r="C23" s="94">
        <f>SUM(C20:C22)</f>
        <v>43200</v>
      </c>
      <c r="D23" s="94"/>
      <c r="E23" s="102"/>
    </row>
  </sheetData>
  <mergeCells count="9">
    <mergeCell ref="F20:F22"/>
    <mergeCell ref="E20:E22"/>
    <mergeCell ref="E4:E6"/>
    <mergeCell ref="E12:E14"/>
    <mergeCell ref="C2:E2"/>
    <mergeCell ref="C10:E10"/>
    <mergeCell ref="C18:E18"/>
    <mergeCell ref="F4:F6"/>
    <mergeCell ref="F12:F14"/>
  </mergeCells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205D-6326-4468-92CE-924FB684B7C9}">
  <dimension ref="A1:G23"/>
  <sheetViews>
    <sheetView workbookViewId="0">
      <selection activeCell="E19" sqref="E19"/>
    </sheetView>
  </sheetViews>
  <sheetFormatPr defaultRowHeight="13.8"/>
  <cols>
    <col min="1" max="1" width="25.33203125" customWidth="1"/>
    <col min="2" max="4" width="15.77734375" customWidth="1"/>
  </cols>
  <sheetData>
    <row r="1" spans="1:7" ht="17.399999999999999">
      <c r="A1" s="201" t="s">
        <v>240</v>
      </c>
      <c r="B1" s="201"/>
      <c r="C1" s="201"/>
      <c r="D1" s="201"/>
      <c r="E1" s="137"/>
      <c r="F1" s="137"/>
      <c r="G1" s="137"/>
    </row>
    <row r="2" spans="1:7" ht="15.6">
      <c r="A2" s="176"/>
      <c r="B2" s="177" t="s">
        <v>191</v>
      </c>
      <c r="C2" s="177" t="s">
        <v>192</v>
      </c>
      <c r="D2" s="177" t="s">
        <v>193</v>
      </c>
      <c r="E2" s="137"/>
      <c r="F2" s="137"/>
      <c r="G2" s="137"/>
    </row>
    <row r="3" spans="1:7" ht="15">
      <c r="A3" s="165" t="s">
        <v>73</v>
      </c>
      <c r="B3" s="167">
        <v>503.21814159292035</v>
      </c>
      <c r="C3" s="167">
        <v>503.21814159292035</v>
      </c>
      <c r="D3" s="167">
        <v>503.21814159292035</v>
      </c>
      <c r="E3" s="137"/>
      <c r="F3" s="137"/>
      <c r="G3" s="137"/>
    </row>
    <row r="4" spans="1:7" ht="15">
      <c r="A4" s="165" t="s">
        <v>76</v>
      </c>
      <c r="B4" s="168">
        <v>0.560351824056317</v>
      </c>
      <c r="C4" s="168">
        <v>0.560351824056317</v>
      </c>
      <c r="D4" s="168">
        <v>0.560351824056317</v>
      </c>
      <c r="E4" s="137"/>
      <c r="F4" s="137"/>
      <c r="G4" s="137"/>
    </row>
    <row r="5" spans="1:7" ht="15">
      <c r="A5" s="165" t="s">
        <v>78</v>
      </c>
      <c r="B5" s="167">
        <v>221.23893805309737</v>
      </c>
      <c r="C5" s="167">
        <v>221.23893805309737</v>
      </c>
      <c r="D5" s="167">
        <v>221.23893805309737</v>
      </c>
      <c r="E5" s="137"/>
      <c r="F5" s="137"/>
      <c r="G5" s="137"/>
    </row>
    <row r="6" spans="1:7" ht="15">
      <c r="A6" s="165" t="s">
        <v>81</v>
      </c>
      <c r="B6" s="169"/>
      <c r="C6" s="169"/>
      <c r="D6" s="169"/>
      <c r="E6" s="137"/>
      <c r="F6" s="137"/>
      <c r="G6" s="137"/>
    </row>
    <row r="7" spans="1:7" ht="15">
      <c r="A7" s="165" t="s">
        <v>84</v>
      </c>
      <c r="B7" s="170">
        <v>43200</v>
      </c>
      <c r="C7" s="170">
        <v>64800</v>
      </c>
      <c r="D7" s="170">
        <v>108000</v>
      </c>
      <c r="E7" s="137"/>
      <c r="F7" s="137"/>
      <c r="G7" s="137"/>
    </row>
    <row r="8" spans="1:7" ht="15">
      <c r="A8" s="165" t="s">
        <v>86</v>
      </c>
      <c r="B8" s="171">
        <v>21232960.115256637</v>
      </c>
      <c r="C8" s="171">
        <v>31849440.172884956</v>
      </c>
      <c r="D8" s="171">
        <v>53082400.288141586</v>
      </c>
      <c r="E8" s="137"/>
      <c r="F8" s="137"/>
      <c r="G8" s="137"/>
    </row>
    <row r="9" spans="1:7" ht="15">
      <c r="A9" s="165" t="s">
        <v>89</v>
      </c>
      <c r="B9" s="171">
        <v>11865314.097557519</v>
      </c>
      <c r="C9" s="171">
        <v>17797971.14633628</v>
      </c>
      <c r="D9" s="171">
        <v>29663285.243893798</v>
      </c>
      <c r="E9" s="137"/>
      <c r="F9" s="137"/>
      <c r="G9" s="137"/>
    </row>
    <row r="10" spans="1:7" ht="15">
      <c r="A10" s="165" t="s">
        <v>92</v>
      </c>
      <c r="B10" s="172">
        <v>0.55881582375468541</v>
      </c>
      <c r="C10" s="172">
        <v>0.55881582375468553</v>
      </c>
      <c r="D10" s="172">
        <v>0.55881582375468553</v>
      </c>
      <c r="E10" s="137"/>
      <c r="F10" s="137"/>
      <c r="G10" s="137"/>
    </row>
    <row r="11" spans="1:7" ht="15">
      <c r="A11" s="165" t="s">
        <v>95</v>
      </c>
      <c r="B11" s="171">
        <v>-295500.60473441822</v>
      </c>
      <c r="C11" s="171">
        <v>1654337.5884735952</v>
      </c>
      <c r="D11" s="171">
        <v>5554013.9748896183</v>
      </c>
      <c r="E11" s="137"/>
      <c r="F11" s="137"/>
      <c r="G11" s="137"/>
    </row>
    <row r="12" spans="1:7" ht="15">
      <c r="A12" s="165" t="s">
        <v>98</v>
      </c>
      <c r="B12" s="173">
        <v>-1.3917070588857298E-2</v>
      </c>
      <c r="C12" s="173">
        <v>5.1942438532468042E-2</v>
      </c>
      <c r="D12" s="173">
        <v>0.10463004582952826</v>
      </c>
      <c r="E12" s="137"/>
      <c r="F12" s="137"/>
      <c r="G12" s="137"/>
    </row>
    <row r="13" spans="1:7" ht="15">
      <c r="A13" s="165" t="s">
        <v>101</v>
      </c>
      <c r="B13" s="174">
        <v>4740550</v>
      </c>
      <c r="C13" s="174">
        <v>4740550</v>
      </c>
      <c r="D13" s="174">
        <v>4740550</v>
      </c>
      <c r="E13" s="137"/>
      <c r="F13" s="137"/>
      <c r="G13" s="137"/>
    </row>
    <row r="14" spans="1:7" ht="15">
      <c r="A14" s="165" t="s">
        <v>104</v>
      </c>
      <c r="B14" s="175">
        <v>-6.2334666807526175E-2</v>
      </c>
      <c r="C14" s="175">
        <v>0.3489758758949057</v>
      </c>
      <c r="D14" s="175">
        <v>1.1715969612997688</v>
      </c>
      <c r="E14" s="137"/>
      <c r="F14" s="137"/>
      <c r="G14" s="137"/>
    </row>
    <row r="15" spans="1:7" ht="16.2">
      <c r="A15" s="164"/>
      <c r="B15" s="166"/>
      <c r="C15" s="137"/>
      <c r="D15" s="137"/>
      <c r="E15" s="137"/>
      <c r="F15" s="137"/>
      <c r="G15" s="137"/>
    </row>
    <row r="16" spans="1:7" ht="16.2">
      <c r="A16" s="154"/>
      <c r="B16" s="155"/>
      <c r="C16" s="137"/>
      <c r="D16" s="137"/>
      <c r="E16" s="137"/>
      <c r="F16" s="137"/>
      <c r="G16" s="137"/>
    </row>
    <row r="17" spans="1:7">
      <c r="A17" s="137"/>
      <c r="B17" s="137"/>
      <c r="C17" s="137"/>
      <c r="D17" s="137"/>
      <c r="E17" s="137"/>
      <c r="F17" s="137"/>
      <c r="G17" s="137"/>
    </row>
    <row r="18" spans="1:7" ht="14.4">
      <c r="A18" s="143"/>
      <c r="B18" s="137"/>
      <c r="C18" s="137"/>
      <c r="D18" s="137"/>
      <c r="E18" s="137"/>
      <c r="F18" s="137"/>
      <c r="G18" s="137"/>
    </row>
    <row r="19" spans="1:7" ht="14.4">
      <c r="A19" s="143"/>
      <c r="B19" s="137"/>
      <c r="C19" s="137"/>
      <c r="D19" s="137"/>
      <c r="E19" s="137"/>
      <c r="F19" s="137"/>
      <c r="G19" s="137"/>
    </row>
    <row r="20" spans="1:7">
      <c r="A20" s="137"/>
      <c r="B20" s="137"/>
      <c r="C20" s="137"/>
      <c r="D20" s="137"/>
      <c r="E20" s="137"/>
      <c r="F20" s="137"/>
      <c r="G20" s="137"/>
    </row>
    <row r="21" spans="1:7">
      <c r="A21" s="137"/>
      <c r="B21" s="137"/>
      <c r="C21" s="137"/>
      <c r="D21" s="137"/>
      <c r="E21" s="137"/>
      <c r="F21" s="137"/>
      <c r="G21" s="137"/>
    </row>
    <row r="22" spans="1:7">
      <c r="A22" s="137"/>
      <c r="B22" s="137"/>
      <c r="C22" s="137"/>
      <c r="D22" s="137"/>
      <c r="E22" s="137"/>
      <c r="F22" s="137"/>
      <c r="G22" s="137"/>
    </row>
    <row r="23" spans="1:7">
      <c r="A23" s="137"/>
      <c r="B23" s="137"/>
      <c r="C23" s="137"/>
      <c r="D23" s="137"/>
      <c r="E23" s="137"/>
      <c r="F23" s="137"/>
      <c r="G23" s="137"/>
    </row>
  </sheetData>
  <mergeCells count="1">
    <mergeCell ref="A1:D1"/>
  </mergeCells>
  <phoneticPr fontId="4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8"/>
  <sheetViews>
    <sheetView tabSelected="1" zoomScale="85" zoomScaleNormal="85" workbookViewId="0">
      <selection activeCell="C8" sqref="C8"/>
    </sheetView>
  </sheetViews>
  <sheetFormatPr defaultColWidth="10.88671875" defaultRowHeight="15"/>
  <cols>
    <col min="1" max="1" width="4.77734375" style="4" customWidth="1"/>
    <col min="2" max="2" width="27.77734375" style="4" customWidth="1"/>
    <col min="3" max="3" width="18" style="4" customWidth="1"/>
    <col min="4" max="4" width="4.77734375" style="4" customWidth="1"/>
    <col min="5" max="5" width="29.77734375" style="4" customWidth="1"/>
    <col min="6" max="6" width="23.33203125" style="4" customWidth="1"/>
    <col min="7" max="8" width="20.109375" style="4" customWidth="1"/>
    <col min="9" max="9" width="17.88671875" style="4" customWidth="1"/>
    <col min="10" max="10" width="18.6640625" style="4" customWidth="1"/>
    <col min="11" max="11" width="17.88671875" style="4" customWidth="1"/>
    <col min="12" max="12" width="4.77734375" style="4" customWidth="1"/>
    <col min="13" max="13" width="16.77734375" style="4" customWidth="1"/>
    <col min="14" max="14" width="18.44140625" style="4" bestFit="1" customWidth="1"/>
    <col min="15" max="15" width="20.109375" style="4" customWidth="1"/>
    <col min="16" max="16" width="31.5546875" style="4" customWidth="1"/>
    <col min="17" max="16384" width="10.88671875" style="4"/>
  </cols>
  <sheetData>
    <row r="1" spans="2:26" s="1" customFormat="1" ht="20.399999999999999">
      <c r="B1" s="178" t="s">
        <v>64</v>
      </c>
      <c r="C1" s="178"/>
    </row>
    <row r="2" spans="2:26" s="1" customFormat="1"/>
    <row r="3" spans="2:26" s="1" customFormat="1" ht="16.2">
      <c r="B3" s="5" t="s">
        <v>8</v>
      </c>
      <c r="C3" s="6">
        <f>Budget!H3</f>
        <v>600000</v>
      </c>
      <c r="E3" s="4"/>
      <c r="F3" s="179" t="s">
        <v>65</v>
      </c>
      <c r="G3" s="180"/>
      <c r="H3" s="181" t="s">
        <v>66</v>
      </c>
      <c r="I3" s="182"/>
      <c r="J3" s="183" t="s">
        <v>67</v>
      </c>
      <c r="K3" s="184"/>
      <c r="M3" s="185" t="s">
        <v>133</v>
      </c>
      <c r="N3" s="186"/>
    </row>
    <row r="4" spans="2:26" s="1" customFormat="1" ht="15.6">
      <c r="B4" s="7" t="s">
        <v>11</v>
      </c>
      <c r="C4" s="8">
        <f>Budget!H4</f>
        <v>500000</v>
      </c>
      <c r="E4" s="2"/>
      <c r="F4" s="9" t="s">
        <v>68</v>
      </c>
      <c r="G4" s="10" t="s">
        <v>69</v>
      </c>
      <c r="H4" s="9" t="s">
        <v>68</v>
      </c>
      <c r="I4" s="11" t="s">
        <v>69</v>
      </c>
      <c r="J4" s="12" t="s">
        <v>68</v>
      </c>
      <c r="K4" s="13" t="s">
        <v>69</v>
      </c>
      <c r="M4" s="14"/>
      <c r="N4" s="15" t="s">
        <v>70</v>
      </c>
    </row>
    <row r="5" spans="2:26" s="1" customFormat="1" ht="15.6">
      <c r="B5" s="7" t="s">
        <v>71</v>
      </c>
      <c r="C5" s="8">
        <f>Budget!H5</f>
        <v>375550</v>
      </c>
      <c r="E5" s="16" t="s">
        <v>72</v>
      </c>
      <c r="F5" s="17">
        <f>'BOM&amp;ASP'!F3</f>
        <v>250</v>
      </c>
      <c r="G5" s="18">
        <f>F5/1.13</f>
        <v>221.23893805309737</v>
      </c>
      <c r="H5" s="17">
        <f>F5*0.98</f>
        <v>245</v>
      </c>
      <c r="I5" s="19">
        <f>H5/1.13</f>
        <v>216.81415929203541</v>
      </c>
      <c r="J5" s="17">
        <f>H5*0.98</f>
        <v>240.1</v>
      </c>
      <c r="K5" s="20">
        <f>J5/1.13</f>
        <v>212.47787610619471</v>
      </c>
      <c r="M5" s="21" t="s">
        <v>73</v>
      </c>
      <c r="N5" s="22">
        <f>G22</f>
        <v>503.21814159292035</v>
      </c>
    </row>
    <row r="6" spans="2:26" s="1" customFormat="1" ht="15.6">
      <c r="B6" s="7" t="s">
        <v>74</v>
      </c>
      <c r="C6" s="8">
        <f>Budget!H6</f>
        <v>145000</v>
      </c>
      <c r="E6" s="23" t="s">
        <v>75</v>
      </c>
      <c r="F6" s="24">
        <f>$C$16+$C$17</f>
        <v>0</v>
      </c>
      <c r="G6" s="18">
        <f>F6</f>
        <v>0</v>
      </c>
      <c r="H6" s="24">
        <f>$C$16+$C$17</f>
        <v>0</v>
      </c>
      <c r="I6" s="25">
        <f>H6</f>
        <v>0</v>
      </c>
      <c r="J6" s="24">
        <f>$C$16+$C$17</f>
        <v>0</v>
      </c>
      <c r="K6" s="20">
        <f>J6</f>
        <v>0</v>
      </c>
      <c r="M6" s="26" t="s">
        <v>76</v>
      </c>
      <c r="N6" s="134">
        <f>(N5-N7)/N5</f>
        <v>0.560351824056317</v>
      </c>
    </row>
    <row r="7" spans="2:26" s="1" customFormat="1" ht="15.6">
      <c r="B7" s="7" t="s">
        <v>20</v>
      </c>
      <c r="C7" s="8">
        <f>Budget!H7</f>
        <v>150000</v>
      </c>
      <c r="E7" s="23" t="s">
        <v>77</v>
      </c>
      <c r="F7" s="24">
        <f>(C3+C4)/C20</f>
        <v>50.925925925925924</v>
      </c>
      <c r="G7" s="18">
        <f>F7/1.13</f>
        <v>45.067191084890204</v>
      </c>
      <c r="H7" s="24">
        <v>0</v>
      </c>
      <c r="I7" s="25">
        <f>H7/1.13</f>
        <v>0</v>
      </c>
      <c r="J7" s="24">
        <v>0</v>
      </c>
      <c r="K7" s="20">
        <f>J7/1.13</f>
        <v>0</v>
      </c>
      <c r="M7" s="27" t="s">
        <v>78</v>
      </c>
      <c r="N7" s="28">
        <f>G5</f>
        <v>221.23893805309737</v>
      </c>
    </row>
    <row r="8" spans="2:26" s="1" customFormat="1" ht="15.6">
      <c r="B8" s="7" t="s">
        <v>79</v>
      </c>
      <c r="C8" s="8">
        <f>Budget!H8</f>
        <v>2970000</v>
      </c>
      <c r="E8" s="23" t="s">
        <v>80</v>
      </c>
      <c r="F8" s="24">
        <f>(C9-C3-C4)/C20</f>
        <v>168.5439814814815</v>
      </c>
      <c r="G8" s="18">
        <f>F8/1.13</f>
        <v>149.15396591281549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81</v>
      </c>
      <c r="N8" s="29"/>
    </row>
    <row r="9" spans="2:26" s="1" customFormat="1" ht="15.6">
      <c r="B9" s="30" t="s">
        <v>82</v>
      </c>
      <c r="C9" s="31">
        <f>SUM(C3:C8)</f>
        <v>4740550</v>
      </c>
      <c r="E9" s="16" t="s">
        <v>83</v>
      </c>
      <c r="F9" s="32">
        <v>0</v>
      </c>
      <c r="G9" s="18">
        <f>F9/1.09</f>
        <v>0</v>
      </c>
      <c r="H9" s="32">
        <f>F9</f>
        <v>0</v>
      </c>
      <c r="I9" s="25">
        <f>H9/1.09</f>
        <v>0</v>
      </c>
      <c r="J9" s="32">
        <f>H9</f>
        <v>0</v>
      </c>
      <c r="K9" s="20">
        <f>J9/1.09</f>
        <v>0</v>
      </c>
      <c r="M9" s="27" t="s">
        <v>84</v>
      </c>
      <c r="N9" s="33">
        <f>SUM(C20:C26)</f>
        <v>64800</v>
      </c>
    </row>
    <row r="10" spans="2:26" s="1" customFormat="1" ht="15.6">
      <c r="E10" s="16" t="s">
        <v>85</v>
      </c>
      <c r="F10" s="34">
        <v>0.57999999999999996</v>
      </c>
      <c r="G10" s="18">
        <f>F10/1.09</f>
        <v>0.53211009174311896</v>
      </c>
      <c r="H10" s="32">
        <f>F10</f>
        <v>0.57999999999999996</v>
      </c>
      <c r="I10" s="25">
        <f>H10/1.09</f>
        <v>0.53211009174311896</v>
      </c>
      <c r="J10" s="32">
        <f>H10</f>
        <v>0.57999999999999996</v>
      </c>
      <c r="K10" s="20">
        <f>J10/1.09</f>
        <v>0.53211009174311896</v>
      </c>
      <c r="M10" s="27" t="s">
        <v>86</v>
      </c>
      <c r="N10" s="35">
        <f>G28+I28+K28</f>
        <v>31849440.172884956</v>
      </c>
    </row>
    <row r="11" spans="2:26" ht="15.6">
      <c r="B11" s="5" t="s">
        <v>87</v>
      </c>
      <c r="C11" s="36">
        <v>0</v>
      </c>
      <c r="E11" s="23" t="s">
        <v>88</v>
      </c>
      <c r="F11" s="24">
        <f t="shared" ref="F11:K11" si="0">F10+F9</f>
        <v>0.57999999999999996</v>
      </c>
      <c r="G11" s="18">
        <f t="shared" si="0"/>
        <v>0.53211009174311896</v>
      </c>
      <c r="H11" s="37">
        <f t="shared" si="0"/>
        <v>0.57999999999999996</v>
      </c>
      <c r="I11" s="38">
        <f t="shared" si="0"/>
        <v>0.53211009174311896</v>
      </c>
      <c r="J11" s="37">
        <f t="shared" si="0"/>
        <v>0.57999999999999996</v>
      </c>
      <c r="K11" s="39">
        <f t="shared" si="0"/>
        <v>0.53211009174311896</v>
      </c>
      <c r="M11" s="27" t="s">
        <v>89</v>
      </c>
      <c r="N11" s="35">
        <f>G23*G27+I23*I27+K23*K27</f>
        <v>17797971.14633628</v>
      </c>
      <c r="Z11" s="1"/>
    </row>
    <row r="12" spans="2:26" ht="15.6">
      <c r="B12" s="7" t="s">
        <v>90</v>
      </c>
      <c r="C12" s="40">
        <v>0</v>
      </c>
      <c r="E12" s="16" t="s">
        <v>91</v>
      </c>
      <c r="F12" s="41">
        <v>0.05</v>
      </c>
      <c r="G12" s="42">
        <f>F12</f>
        <v>0.05</v>
      </c>
      <c r="H12" s="41">
        <v>0.05</v>
      </c>
      <c r="I12" s="43">
        <f>H12</f>
        <v>0.05</v>
      </c>
      <c r="J12" s="41">
        <v>0.05</v>
      </c>
      <c r="K12" s="44">
        <f>J12</f>
        <v>0.05</v>
      </c>
      <c r="M12" s="27" t="s">
        <v>92</v>
      </c>
      <c r="N12" s="45">
        <f>N11/N10</f>
        <v>0.55881582375468553</v>
      </c>
    </row>
    <row r="13" spans="2:26" s="2" customFormat="1" ht="15.6">
      <c r="B13" s="7" t="s">
        <v>93</v>
      </c>
      <c r="C13" s="40">
        <v>0</v>
      </c>
      <c r="E13" s="23" t="s">
        <v>94</v>
      </c>
      <c r="F13" s="24">
        <f>F12*F5</f>
        <v>12.5</v>
      </c>
      <c r="G13" s="18">
        <f>F13</f>
        <v>12.5</v>
      </c>
      <c r="H13" s="24">
        <f>H12*H5</f>
        <v>12.25</v>
      </c>
      <c r="I13" s="25">
        <f>H13</f>
        <v>12.25</v>
      </c>
      <c r="J13" s="24">
        <f>J12*J5</f>
        <v>12.005000000000001</v>
      </c>
      <c r="K13" s="20">
        <f>J13</f>
        <v>12.005000000000001</v>
      </c>
      <c r="M13" s="27" t="s">
        <v>95</v>
      </c>
      <c r="N13" s="35">
        <f>G29+I29+K29</f>
        <v>1654337.5884735952</v>
      </c>
    </row>
    <row r="14" spans="2:26" s="3" customFormat="1" ht="15.6">
      <c r="B14" s="7" t="s">
        <v>96</v>
      </c>
      <c r="C14" s="40">
        <v>0</v>
      </c>
      <c r="E14" s="16" t="s">
        <v>97</v>
      </c>
      <c r="F14" s="41">
        <v>1.7000000000000001E-2</v>
      </c>
      <c r="G14" s="42">
        <f>F14</f>
        <v>1.7000000000000001E-2</v>
      </c>
      <c r="H14" s="41">
        <f>F14</f>
        <v>1.7000000000000001E-2</v>
      </c>
      <c r="I14" s="43">
        <f>H14</f>
        <v>1.7000000000000001E-2</v>
      </c>
      <c r="J14" s="41">
        <f>F14</f>
        <v>1.7000000000000001E-2</v>
      </c>
      <c r="K14" s="44">
        <f>J14</f>
        <v>1.7000000000000001E-2</v>
      </c>
      <c r="M14" s="26" t="s">
        <v>98</v>
      </c>
      <c r="N14" s="46">
        <f>N13/N10</f>
        <v>5.1942438532468042E-2</v>
      </c>
    </row>
    <row r="15" spans="2:26" s="3" customFormat="1" ht="15.6">
      <c r="B15" s="7" t="s">
        <v>99</v>
      </c>
      <c r="C15" s="40">
        <v>0</v>
      </c>
      <c r="E15" s="23" t="s">
        <v>100</v>
      </c>
      <c r="F15" s="24">
        <f>C28*F14</f>
        <v>4.25</v>
      </c>
      <c r="G15" s="18">
        <f>F15/1.13</f>
        <v>3.7610619469026552</v>
      </c>
      <c r="H15" s="37">
        <f>H14*C28</f>
        <v>4.25</v>
      </c>
      <c r="I15" s="38">
        <f>H15/1.13</f>
        <v>3.7610619469026552</v>
      </c>
      <c r="J15" s="37">
        <f>J14*C28</f>
        <v>4.25</v>
      </c>
      <c r="K15" s="39">
        <f>J15/1.13</f>
        <v>3.7610619469026552</v>
      </c>
      <c r="M15" s="21" t="s">
        <v>101</v>
      </c>
      <c r="N15" s="47">
        <f>C9</f>
        <v>4740550</v>
      </c>
    </row>
    <row r="16" spans="2:26" s="3" customFormat="1" ht="15.6">
      <c r="B16" s="7" t="s">
        <v>102</v>
      </c>
      <c r="C16" s="48">
        <f>SUM(C11:C15)</f>
        <v>0</v>
      </c>
      <c r="E16" s="23" t="s">
        <v>103</v>
      </c>
      <c r="F16" s="24">
        <f t="shared" ref="F16:K16" si="1">F15</f>
        <v>4.25</v>
      </c>
      <c r="G16" s="18">
        <f t="shared" si="1"/>
        <v>3.7610619469026552</v>
      </c>
      <c r="H16" s="37">
        <f t="shared" si="1"/>
        <v>4.25</v>
      </c>
      <c r="I16" s="38">
        <f t="shared" si="1"/>
        <v>3.7610619469026552</v>
      </c>
      <c r="J16" s="37">
        <f t="shared" si="1"/>
        <v>4.25</v>
      </c>
      <c r="K16" s="39">
        <f t="shared" si="1"/>
        <v>3.7610619469026552</v>
      </c>
      <c r="M16" s="26" t="s">
        <v>104</v>
      </c>
      <c r="N16" s="153">
        <f>N13/N15</f>
        <v>0.3489758758949057</v>
      </c>
    </row>
    <row r="17" spans="2:14" s="3" customFormat="1" ht="15.6">
      <c r="B17" s="30" t="s">
        <v>105</v>
      </c>
      <c r="C17" s="49">
        <v>0</v>
      </c>
      <c r="E17" s="16" t="s">
        <v>106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107</v>
      </c>
      <c r="F18" s="24">
        <f>F5*F17</f>
        <v>1.25</v>
      </c>
      <c r="G18" s="18">
        <f>F18</f>
        <v>1.25</v>
      </c>
      <c r="H18" s="37">
        <f>H5*H17</f>
        <v>1.2250000000000001</v>
      </c>
      <c r="I18" s="38">
        <f>H18</f>
        <v>1.2250000000000001</v>
      </c>
      <c r="J18" s="37">
        <f>J5*J17</f>
        <v>1.2004999999999999</v>
      </c>
      <c r="K18" s="39">
        <f>J18</f>
        <v>1.2004999999999999</v>
      </c>
    </row>
    <row r="19" spans="2:14" ht="15.6">
      <c r="B19" s="50" t="s">
        <v>108</v>
      </c>
      <c r="E19" s="16" t="s">
        <v>109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110</v>
      </c>
      <c r="C20" s="51">
        <f>Scenarios!C4</f>
        <v>21600</v>
      </c>
      <c r="D20" s="3"/>
      <c r="E20" s="23" t="s">
        <v>111</v>
      </c>
      <c r="F20" s="24">
        <f>F19*F22</f>
        <v>170.59094999999999</v>
      </c>
      <c r="G20" s="18">
        <f>F20</f>
        <v>170.59094999999999</v>
      </c>
      <c r="H20" s="24">
        <f>H19*H22</f>
        <v>166.29713099999998</v>
      </c>
      <c r="I20" s="25">
        <f>H20</f>
        <v>166.29713099999998</v>
      </c>
      <c r="J20" s="24">
        <f>J19*J22</f>
        <v>162.97118837999997</v>
      </c>
      <c r="K20" s="20">
        <f>J20</f>
        <v>162.97118837999997</v>
      </c>
      <c r="M20" s="147">
        <f>F20*C20+H20*C21+J20*C22</f>
        <v>10796960.218607999</v>
      </c>
    </row>
    <row r="21" spans="2:14" s="3" customFormat="1" ht="15.6">
      <c r="B21" s="7" t="s">
        <v>112</v>
      </c>
      <c r="C21" s="52">
        <f>Scenarios!C5</f>
        <v>21600</v>
      </c>
      <c r="E21" s="53" t="s">
        <v>113</v>
      </c>
      <c r="F21" s="24">
        <f t="shared" ref="F21:K21" si="2">F5+F6++F7+F8+F11+F13+F16+F18+F20</f>
        <v>658.64085740740734</v>
      </c>
      <c r="G21" s="18">
        <f t="shared" si="2"/>
        <v>604.09421708944876</v>
      </c>
      <c r="H21" s="37">
        <f t="shared" si="2"/>
        <v>429.60213100000004</v>
      </c>
      <c r="I21" s="38">
        <f t="shared" si="2"/>
        <v>400.87946233068112</v>
      </c>
      <c r="J21" s="37">
        <f t="shared" si="2"/>
        <v>421.10668837999992</v>
      </c>
      <c r="K21" s="39">
        <f t="shared" si="2"/>
        <v>392.94773652484048</v>
      </c>
    </row>
    <row r="22" spans="2:14" ht="15.6">
      <c r="B22" s="7" t="s">
        <v>114</v>
      </c>
      <c r="C22" s="52">
        <f>Scenarios!C6</f>
        <v>21600</v>
      </c>
      <c r="E22" s="16" t="s">
        <v>136</v>
      </c>
      <c r="F22" s="17">
        <f>'BOM&amp;ASP'!C10</f>
        <v>568.63649999999996</v>
      </c>
      <c r="G22" s="54">
        <f>F22/1.13</f>
        <v>503.21814159292035</v>
      </c>
      <c r="H22" s="17">
        <f>(F22-3)*0.98</f>
        <v>554.32376999999997</v>
      </c>
      <c r="I22" s="55">
        <f>H22/1.13</f>
        <v>490.55200884955752</v>
      </c>
      <c r="J22" s="17">
        <f>H22*0.98</f>
        <v>543.23729459999993</v>
      </c>
      <c r="K22" s="56">
        <f>J22/1.13</f>
        <v>480.74096867256634</v>
      </c>
    </row>
    <row r="23" spans="2:14">
      <c r="B23" s="7"/>
      <c r="C23" s="57"/>
      <c r="E23" s="23" t="s">
        <v>115</v>
      </c>
      <c r="F23" s="24">
        <f t="shared" ref="F23:K23" si="3">F22-F5</f>
        <v>318.63649999999996</v>
      </c>
      <c r="G23" s="18">
        <f t="shared" si="3"/>
        <v>281.97920353982295</v>
      </c>
      <c r="H23" s="24">
        <f t="shared" si="3"/>
        <v>309.32376999999997</v>
      </c>
      <c r="I23" s="25">
        <f t="shared" si="3"/>
        <v>273.73784955752211</v>
      </c>
      <c r="J23" s="24">
        <f t="shared" si="3"/>
        <v>303.1372945999999</v>
      </c>
      <c r="K23" s="20">
        <f t="shared" si="3"/>
        <v>268.2630925663716</v>
      </c>
    </row>
    <row r="24" spans="2:14" ht="15.6">
      <c r="B24" s="7" t="s">
        <v>116</v>
      </c>
      <c r="C24" s="58">
        <v>0</v>
      </c>
      <c r="E24" s="53" t="s">
        <v>117</v>
      </c>
      <c r="F24" s="59">
        <f t="shared" ref="F24:K24" si="4">F23/F22</f>
        <v>0.56035182405631712</v>
      </c>
      <c r="G24" s="42">
        <f t="shared" si="4"/>
        <v>0.560351824056317</v>
      </c>
      <c r="H24" s="59">
        <f t="shared" si="4"/>
        <v>0.55802003583573545</v>
      </c>
      <c r="I24" s="43">
        <f t="shared" si="4"/>
        <v>0.55802003583573545</v>
      </c>
      <c r="J24" s="59">
        <f t="shared" si="4"/>
        <v>0.55802003583573534</v>
      </c>
      <c r="K24" s="44">
        <f t="shared" si="4"/>
        <v>0.55802003583573534</v>
      </c>
    </row>
    <row r="25" spans="2:14">
      <c r="B25" s="7" t="s">
        <v>118</v>
      </c>
      <c r="C25" s="58">
        <v>0</v>
      </c>
      <c r="E25" s="23" t="s">
        <v>119</v>
      </c>
      <c r="F25" s="24">
        <f t="shared" ref="F25:K25" si="5">F22-F21</f>
        <v>-90.004357407407383</v>
      </c>
      <c r="G25" s="18">
        <f t="shared" si="5"/>
        <v>-100.87607549652841</v>
      </c>
      <c r="H25" s="24">
        <f t="shared" si="5"/>
        <v>124.72163899999993</v>
      </c>
      <c r="I25" s="25">
        <f t="shared" si="5"/>
        <v>89.672546518876402</v>
      </c>
      <c r="J25" s="24">
        <f t="shared" si="5"/>
        <v>122.13060622</v>
      </c>
      <c r="K25" s="20">
        <f t="shared" si="5"/>
        <v>87.79323214772586</v>
      </c>
    </row>
    <row r="26" spans="2:14" ht="15.6">
      <c r="B26" s="30" t="s">
        <v>120</v>
      </c>
      <c r="C26" s="60">
        <v>0</v>
      </c>
      <c r="E26" s="53" t="s">
        <v>121</v>
      </c>
      <c r="F26" s="59">
        <f t="shared" ref="F26:K26" si="6">F25/F22</f>
        <v>-0.15828100624459981</v>
      </c>
      <c r="G26" s="42">
        <f t="shared" si="6"/>
        <v>-0.20046192129959492</v>
      </c>
      <c r="H26" s="59">
        <f t="shared" si="6"/>
        <v>0.22499781851317674</v>
      </c>
      <c r="I26" s="43">
        <f t="shared" si="6"/>
        <v>0.18279926470829555</v>
      </c>
      <c r="J26" s="59">
        <f t="shared" si="6"/>
        <v>0.22481999567045194</v>
      </c>
      <c r="K26" s="44">
        <f t="shared" si="6"/>
        <v>0.18262065825207838</v>
      </c>
      <c r="M26" s="3"/>
      <c r="N26" s="3"/>
    </row>
    <row r="27" spans="2:14" ht="15.6">
      <c r="E27" s="53" t="s">
        <v>122</v>
      </c>
      <c r="F27" s="61">
        <f>C20+C24</f>
        <v>21600</v>
      </c>
      <c r="G27" s="62">
        <f>F27</f>
        <v>21600</v>
      </c>
      <c r="H27" s="63">
        <f>C21+C25</f>
        <v>21600</v>
      </c>
      <c r="I27" s="64">
        <f>H27</f>
        <v>21600</v>
      </c>
      <c r="J27" s="63">
        <f>C22+C26</f>
        <v>21600</v>
      </c>
      <c r="K27" s="65">
        <f>J27</f>
        <v>21600</v>
      </c>
      <c r="M27" s="66"/>
      <c r="N27" s="66"/>
    </row>
    <row r="28" spans="2:14" ht="15.6">
      <c r="B28" s="5" t="s">
        <v>123</v>
      </c>
      <c r="C28" s="36">
        <f>F5</f>
        <v>250</v>
      </c>
      <c r="E28" s="53" t="s">
        <v>124</v>
      </c>
      <c r="F28" s="67">
        <f t="shared" ref="F28:K28" si="7">F27*F22</f>
        <v>12282548.399999999</v>
      </c>
      <c r="G28" s="18">
        <f t="shared" si="7"/>
        <v>10869511.85840708</v>
      </c>
      <c r="H28" s="68">
        <f t="shared" si="7"/>
        <v>11973393.432</v>
      </c>
      <c r="I28" s="69">
        <f t="shared" si="7"/>
        <v>10595923.391150443</v>
      </c>
      <c r="J28" s="68">
        <f t="shared" si="7"/>
        <v>11733925.563359998</v>
      </c>
      <c r="K28" s="70">
        <f t="shared" si="7"/>
        <v>10384004.923327433</v>
      </c>
    </row>
    <row r="29" spans="2:14" ht="15.6">
      <c r="B29" s="30"/>
      <c r="C29" s="49"/>
      <c r="E29" s="53" t="s">
        <v>125</v>
      </c>
      <c r="F29" s="71">
        <f t="shared" ref="F29:K29" si="8">F27*F25</f>
        <v>-1944094.1199999994</v>
      </c>
      <c r="G29" s="72">
        <f t="shared" si="8"/>
        <v>-2178923.2307250137</v>
      </c>
      <c r="H29" s="73">
        <f t="shared" si="8"/>
        <v>2693987.4023999982</v>
      </c>
      <c r="I29" s="74">
        <f t="shared" si="8"/>
        <v>1936927.0048077302</v>
      </c>
      <c r="J29" s="73">
        <f t="shared" si="8"/>
        <v>2638021.0943519999</v>
      </c>
      <c r="K29" s="75">
        <f t="shared" si="8"/>
        <v>1896333.8143908787</v>
      </c>
    </row>
    <row r="39" spans="1:10">
      <c r="A39" s="76"/>
      <c r="D39" s="77"/>
    </row>
    <row r="40" spans="1:10">
      <c r="D40" s="1"/>
    </row>
    <row r="43" spans="1:10">
      <c r="D43" s="78"/>
    </row>
    <row r="46" spans="1:10">
      <c r="J46" s="50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126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8"/>
  <sheetViews>
    <sheetView zoomScale="80" zoomScaleNormal="80" workbookViewId="0">
      <selection activeCell="M26" sqref="M26"/>
    </sheetView>
  </sheetViews>
  <sheetFormatPr defaultColWidth="10.88671875" defaultRowHeight="15"/>
  <cols>
    <col min="1" max="1" width="4.77734375" style="4" customWidth="1"/>
    <col min="2" max="2" width="27.77734375" style="4" customWidth="1"/>
    <col min="3" max="3" width="18" style="4" customWidth="1"/>
    <col min="4" max="4" width="4.77734375" style="4" customWidth="1"/>
    <col min="5" max="5" width="29.77734375" style="4" customWidth="1"/>
    <col min="6" max="6" width="23.33203125" style="4" customWidth="1"/>
    <col min="7" max="8" width="20.109375" style="4" customWidth="1"/>
    <col min="9" max="9" width="17.88671875" style="4" customWidth="1"/>
    <col min="10" max="10" width="18.6640625" style="4" customWidth="1"/>
    <col min="11" max="11" width="17.88671875" style="4" customWidth="1"/>
    <col min="12" max="12" width="4.77734375" style="4" customWidth="1"/>
    <col min="13" max="13" width="16.77734375" style="4" customWidth="1"/>
    <col min="14" max="14" width="18.44140625" style="4" bestFit="1" customWidth="1"/>
    <col min="15" max="15" width="20.109375" style="4" customWidth="1"/>
    <col min="16" max="16" width="31.5546875" style="4" customWidth="1"/>
    <col min="17" max="16384" width="10.88671875" style="4"/>
  </cols>
  <sheetData>
    <row r="1" spans="2:26" s="1" customFormat="1" ht="20.399999999999999">
      <c r="B1" s="178" t="s">
        <v>127</v>
      </c>
      <c r="C1" s="178"/>
    </row>
    <row r="2" spans="2:26" s="1" customFormat="1"/>
    <row r="3" spans="2:26" s="1" customFormat="1" ht="16.2">
      <c r="B3" s="5" t="s">
        <v>8</v>
      </c>
      <c r="C3" s="6">
        <f>Budget!H3</f>
        <v>600000</v>
      </c>
      <c r="E3" s="4"/>
      <c r="F3" s="179" t="s">
        <v>65</v>
      </c>
      <c r="G3" s="180"/>
      <c r="H3" s="181" t="s">
        <v>66</v>
      </c>
      <c r="I3" s="182"/>
      <c r="J3" s="183" t="s">
        <v>67</v>
      </c>
      <c r="K3" s="184"/>
      <c r="M3" s="185" t="s">
        <v>131</v>
      </c>
      <c r="N3" s="186"/>
    </row>
    <row r="4" spans="2:26" s="1" customFormat="1" ht="15.6">
      <c r="B4" s="7" t="s">
        <v>11</v>
      </c>
      <c r="C4" s="8">
        <f>Budget!H4</f>
        <v>500000</v>
      </c>
      <c r="E4" s="2"/>
      <c r="F4" s="9" t="s">
        <v>68</v>
      </c>
      <c r="G4" s="10" t="s">
        <v>69</v>
      </c>
      <c r="H4" s="9" t="s">
        <v>68</v>
      </c>
      <c r="I4" s="11" t="s">
        <v>69</v>
      </c>
      <c r="J4" s="12" t="s">
        <v>68</v>
      </c>
      <c r="K4" s="13" t="s">
        <v>69</v>
      </c>
      <c r="M4" s="14"/>
      <c r="N4" s="15" t="s">
        <v>70</v>
      </c>
    </row>
    <row r="5" spans="2:26" s="1" customFormat="1" ht="15.6">
      <c r="B5" s="7" t="s">
        <v>71</v>
      </c>
      <c r="C5" s="8">
        <f>Budget!H5</f>
        <v>375550</v>
      </c>
      <c r="E5" s="16" t="s">
        <v>72</v>
      </c>
      <c r="F5" s="17">
        <f>'BOM&amp;ASP'!F3</f>
        <v>250</v>
      </c>
      <c r="G5" s="18">
        <f t="shared" ref="G5:K5" si="0">F5/1.13</f>
        <v>221.23893805309737</v>
      </c>
      <c r="H5" s="17">
        <f>F5*0.98</f>
        <v>245</v>
      </c>
      <c r="I5" s="19">
        <f t="shared" si="0"/>
        <v>216.81415929203541</v>
      </c>
      <c r="J5" s="17">
        <f>H5*0.98</f>
        <v>240.1</v>
      </c>
      <c r="K5" s="20">
        <f t="shared" si="0"/>
        <v>212.47787610619471</v>
      </c>
      <c r="M5" s="21" t="s">
        <v>73</v>
      </c>
      <c r="N5" s="22">
        <f>G22</f>
        <v>503.21814159292035</v>
      </c>
    </row>
    <row r="6" spans="2:26" s="1" customFormat="1" ht="15.6">
      <c r="B6" s="7" t="s">
        <v>74</v>
      </c>
      <c r="C6" s="8">
        <f>Budget!H6</f>
        <v>145000</v>
      </c>
      <c r="E6" s="23" t="s">
        <v>75</v>
      </c>
      <c r="F6" s="24">
        <f t="shared" ref="F6:J6" si="1">$C$16+$C$17</f>
        <v>0</v>
      </c>
      <c r="G6" s="18">
        <f t="shared" ref="G6:K6" si="2">F6</f>
        <v>0</v>
      </c>
      <c r="H6" s="24">
        <f t="shared" si="1"/>
        <v>0</v>
      </c>
      <c r="I6" s="25">
        <f t="shared" si="2"/>
        <v>0</v>
      </c>
      <c r="J6" s="24">
        <f t="shared" si="1"/>
        <v>0</v>
      </c>
      <c r="K6" s="20">
        <f t="shared" si="2"/>
        <v>0</v>
      </c>
      <c r="M6" s="26" t="s">
        <v>76</v>
      </c>
      <c r="N6" s="134">
        <f>(N5-N7)/N5</f>
        <v>0.560351824056317</v>
      </c>
    </row>
    <row r="7" spans="2:26" s="1" customFormat="1" ht="15.6">
      <c r="B7" s="7" t="s">
        <v>20</v>
      </c>
      <c r="C7" s="8">
        <f>Budget!H7</f>
        <v>150000</v>
      </c>
      <c r="E7" s="23" t="s">
        <v>77</v>
      </c>
      <c r="F7" s="24">
        <f>(C3+C4-D3)/C20</f>
        <v>30.555555555555557</v>
      </c>
      <c r="G7" s="18">
        <f t="shared" ref="G7:K7" si="3">F7/1.13</f>
        <v>27.040314650934125</v>
      </c>
      <c r="H7" s="24">
        <v>0</v>
      </c>
      <c r="I7" s="25">
        <f t="shared" si="3"/>
        <v>0</v>
      </c>
      <c r="J7" s="24">
        <v>0</v>
      </c>
      <c r="K7" s="20">
        <f t="shared" si="3"/>
        <v>0</v>
      </c>
      <c r="M7" s="27" t="s">
        <v>78</v>
      </c>
      <c r="N7" s="28">
        <f>G5</f>
        <v>221.23893805309737</v>
      </c>
    </row>
    <row r="8" spans="2:26" s="1" customFormat="1" ht="15.6">
      <c r="B8" s="7" t="s">
        <v>79</v>
      </c>
      <c r="C8" s="8">
        <f>Budget!H8</f>
        <v>2970000</v>
      </c>
      <c r="E8" s="23" t="s">
        <v>80</v>
      </c>
      <c r="F8" s="24">
        <f>(C9-C3-C4)/C20</f>
        <v>101.12638888888888</v>
      </c>
      <c r="G8" s="18">
        <f>F8/1.13</f>
        <v>89.492379547689282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81</v>
      </c>
      <c r="N8" s="29"/>
    </row>
    <row r="9" spans="2:26" s="1" customFormat="1" ht="15.6">
      <c r="B9" s="30" t="s">
        <v>82</v>
      </c>
      <c r="C9" s="31">
        <f>SUM(C3:C8)</f>
        <v>4740550</v>
      </c>
      <c r="E9" s="16" t="s">
        <v>83</v>
      </c>
      <c r="F9" s="32">
        <v>0</v>
      </c>
      <c r="G9" s="18">
        <f t="shared" ref="G9:K9" si="4">F9/1.09</f>
        <v>0</v>
      </c>
      <c r="H9" s="32">
        <f t="shared" ref="H9:H14" si="5">F9</f>
        <v>0</v>
      </c>
      <c r="I9" s="25">
        <f t="shared" si="4"/>
        <v>0</v>
      </c>
      <c r="J9" s="32">
        <f>H9</f>
        <v>0</v>
      </c>
      <c r="K9" s="20">
        <f t="shared" si="4"/>
        <v>0</v>
      </c>
      <c r="M9" s="27" t="s">
        <v>84</v>
      </c>
      <c r="N9" s="33">
        <f>SUM(C20:C26)</f>
        <v>108000</v>
      </c>
    </row>
    <row r="10" spans="2:26" s="1" customFormat="1" ht="15.6">
      <c r="E10" s="16" t="s">
        <v>85</v>
      </c>
      <c r="F10" s="34">
        <v>0.57999999999999996</v>
      </c>
      <c r="G10" s="18">
        <f t="shared" ref="G10:K10" si="6">F10/1.09</f>
        <v>0.53211009174311896</v>
      </c>
      <c r="H10" s="32">
        <f t="shared" si="5"/>
        <v>0.57999999999999996</v>
      </c>
      <c r="I10" s="25">
        <f t="shared" si="6"/>
        <v>0.53211009174311896</v>
      </c>
      <c r="J10" s="32">
        <f>H10</f>
        <v>0.57999999999999996</v>
      </c>
      <c r="K10" s="20">
        <f t="shared" si="6"/>
        <v>0.53211009174311896</v>
      </c>
      <c r="M10" s="27" t="s">
        <v>86</v>
      </c>
      <c r="N10" s="35">
        <f>G28+I28+K28</f>
        <v>53082400.288141586</v>
      </c>
    </row>
    <row r="11" spans="2:26" ht="15.6">
      <c r="B11" s="5" t="s">
        <v>87</v>
      </c>
      <c r="C11" s="36">
        <v>0</v>
      </c>
      <c r="E11" s="23" t="s">
        <v>88</v>
      </c>
      <c r="F11" s="24">
        <f t="shared" ref="F11:K11" si="7">F10+F9</f>
        <v>0.57999999999999996</v>
      </c>
      <c r="G11" s="18">
        <f t="shared" si="7"/>
        <v>0.53211009174311896</v>
      </c>
      <c r="H11" s="37">
        <f t="shared" si="7"/>
        <v>0.57999999999999996</v>
      </c>
      <c r="I11" s="38">
        <f t="shared" si="7"/>
        <v>0.53211009174311896</v>
      </c>
      <c r="J11" s="37">
        <f t="shared" si="7"/>
        <v>0.57999999999999996</v>
      </c>
      <c r="K11" s="39">
        <f t="shared" si="7"/>
        <v>0.53211009174311896</v>
      </c>
      <c r="M11" s="27" t="s">
        <v>89</v>
      </c>
      <c r="N11" s="35">
        <f>G23*G27+I23*I27+K23*K27</f>
        <v>29663285.243893798</v>
      </c>
      <c r="Z11" s="1"/>
    </row>
    <row r="12" spans="2:26" ht="15.6">
      <c r="B12" s="7" t="s">
        <v>90</v>
      </c>
      <c r="C12" s="40">
        <v>0</v>
      </c>
      <c r="E12" s="16" t="s">
        <v>91</v>
      </c>
      <c r="F12" s="41">
        <v>0.05</v>
      </c>
      <c r="G12" s="42">
        <f t="shared" ref="G12:K12" si="8">F12</f>
        <v>0.05</v>
      </c>
      <c r="H12" s="41">
        <v>0.05</v>
      </c>
      <c r="I12" s="43">
        <f t="shared" si="8"/>
        <v>0.05</v>
      </c>
      <c r="J12" s="41">
        <v>0.05</v>
      </c>
      <c r="K12" s="44">
        <f t="shared" si="8"/>
        <v>0.05</v>
      </c>
      <c r="M12" s="27" t="s">
        <v>92</v>
      </c>
      <c r="N12" s="45">
        <f>N11/N10</f>
        <v>0.55881582375468553</v>
      </c>
    </row>
    <row r="13" spans="2:26" s="2" customFormat="1" ht="15.6">
      <c r="B13" s="7" t="s">
        <v>93</v>
      </c>
      <c r="C13" s="40">
        <v>0</v>
      </c>
      <c r="E13" s="23" t="s">
        <v>94</v>
      </c>
      <c r="F13" s="24">
        <f t="shared" ref="F13:J13" si="9">F12*F5</f>
        <v>12.5</v>
      </c>
      <c r="G13" s="18">
        <f t="shared" ref="G13:K13" si="10">F13</f>
        <v>12.5</v>
      </c>
      <c r="H13" s="24">
        <f t="shared" si="9"/>
        <v>12.25</v>
      </c>
      <c r="I13" s="25">
        <f t="shared" si="10"/>
        <v>12.25</v>
      </c>
      <c r="J13" s="24">
        <f t="shared" si="9"/>
        <v>12.005000000000001</v>
      </c>
      <c r="K13" s="20">
        <f t="shared" si="10"/>
        <v>12.005000000000001</v>
      </c>
      <c r="M13" s="27" t="s">
        <v>95</v>
      </c>
      <c r="N13" s="35">
        <f>G29+I29+K29</f>
        <v>5554013.9748896183</v>
      </c>
    </row>
    <row r="14" spans="2:26" s="3" customFormat="1" ht="15.6">
      <c r="B14" s="7" t="s">
        <v>96</v>
      </c>
      <c r="C14" s="40">
        <v>0</v>
      </c>
      <c r="E14" s="16" t="s">
        <v>97</v>
      </c>
      <c r="F14" s="41">
        <v>1.7000000000000001E-2</v>
      </c>
      <c r="G14" s="42">
        <f t="shared" ref="G14:K14" si="11">F14</f>
        <v>1.7000000000000001E-2</v>
      </c>
      <c r="H14" s="41">
        <f t="shared" si="5"/>
        <v>1.7000000000000001E-2</v>
      </c>
      <c r="I14" s="43">
        <f t="shared" si="11"/>
        <v>1.7000000000000001E-2</v>
      </c>
      <c r="J14" s="41">
        <f>F14</f>
        <v>1.7000000000000001E-2</v>
      </c>
      <c r="K14" s="44">
        <f t="shared" si="11"/>
        <v>1.7000000000000001E-2</v>
      </c>
      <c r="M14" s="26" t="s">
        <v>98</v>
      </c>
      <c r="N14" s="46">
        <f>N13/N10</f>
        <v>0.10463004582952826</v>
      </c>
    </row>
    <row r="15" spans="2:26" s="3" customFormat="1" ht="15.6">
      <c r="B15" s="7" t="s">
        <v>99</v>
      </c>
      <c r="C15" s="40">
        <v>0</v>
      </c>
      <c r="E15" s="23" t="s">
        <v>100</v>
      </c>
      <c r="F15" s="24">
        <f>C28*F14</f>
        <v>4.25</v>
      </c>
      <c r="G15" s="18">
        <f t="shared" ref="G15:K15" si="12">F15/1.13</f>
        <v>3.7610619469026552</v>
      </c>
      <c r="H15" s="37">
        <f>H14*C28</f>
        <v>4.25</v>
      </c>
      <c r="I15" s="38">
        <f t="shared" si="12"/>
        <v>3.7610619469026552</v>
      </c>
      <c r="J15" s="37">
        <f>J14*C28</f>
        <v>4.25</v>
      </c>
      <c r="K15" s="39">
        <f t="shared" si="12"/>
        <v>3.7610619469026552</v>
      </c>
      <c r="M15" s="21" t="s">
        <v>101</v>
      </c>
      <c r="N15" s="47">
        <f>C9</f>
        <v>4740550</v>
      </c>
    </row>
    <row r="16" spans="2:26" s="3" customFormat="1" ht="15.6">
      <c r="B16" s="7" t="s">
        <v>102</v>
      </c>
      <c r="C16" s="48">
        <f>SUM(C11:C15)</f>
        <v>0</v>
      </c>
      <c r="E16" s="23" t="s">
        <v>103</v>
      </c>
      <c r="F16" s="24">
        <f t="shared" ref="F16:K16" si="13">F15</f>
        <v>4.25</v>
      </c>
      <c r="G16" s="18">
        <f t="shared" si="13"/>
        <v>3.7610619469026552</v>
      </c>
      <c r="H16" s="37">
        <f t="shared" si="13"/>
        <v>4.25</v>
      </c>
      <c r="I16" s="38">
        <f t="shared" si="13"/>
        <v>3.7610619469026552</v>
      </c>
      <c r="J16" s="37">
        <f t="shared" si="13"/>
        <v>4.25</v>
      </c>
      <c r="K16" s="39">
        <f t="shared" si="13"/>
        <v>3.7610619469026552</v>
      </c>
      <c r="M16" s="26" t="s">
        <v>104</v>
      </c>
      <c r="N16" s="153">
        <f>N13/N15</f>
        <v>1.1715969612997688</v>
      </c>
    </row>
    <row r="17" spans="2:14" s="3" customFormat="1" ht="15.6">
      <c r="B17" s="30" t="s">
        <v>105</v>
      </c>
      <c r="C17" s="49">
        <v>0</v>
      </c>
      <c r="E17" s="16" t="s">
        <v>106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107</v>
      </c>
      <c r="F18" s="24">
        <f t="shared" ref="F18:J18" si="14">F5*F17</f>
        <v>1.25</v>
      </c>
      <c r="G18" s="18">
        <f t="shared" ref="G18:K18" si="15">F18</f>
        <v>1.25</v>
      </c>
      <c r="H18" s="37">
        <f t="shared" si="14"/>
        <v>1.2250000000000001</v>
      </c>
      <c r="I18" s="38">
        <f t="shared" si="15"/>
        <v>1.2250000000000001</v>
      </c>
      <c r="J18" s="37">
        <f t="shared" si="14"/>
        <v>1.2004999999999999</v>
      </c>
      <c r="K18" s="39">
        <f t="shared" si="15"/>
        <v>1.2004999999999999</v>
      </c>
    </row>
    <row r="19" spans="2:14" ht="15.6">
      <c r="B19" s="50" t="s">
        <v>108</v>
      </c>
      <c r="E19" s="16" t="s">
        <v>109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110</v>
      </c>
      <c r="C20" s="51">
        <f>Scenarios!C12</f>
        <v>36000</v>
      </c>
      <c r="D20" s="3"/>
      <c r="E20" s="23" t="s">
        <v>111</v>
      </c>
      <c r="F20" s="24">
        <f t="shared" ref="F20:J20" si="16">F19*F22</f>
        <v>170.59094999999999</v>
      </c>
      <c r="G20" s="18">
        <f t="shared" ref="G20:K20" si="17">F20</f>
        <v>170.59094999999999</v>
      </c>
      <c r="H20" s="24">
        <f t="shared" si="16"/>
        <v>166.29713099999998</v>
      </c>
      <c r="I20" s="25">
        <f t="shared" si="17"/>
        <v>166.29713099999998</v>
      </c>
      <c r="J20" s="24">
        <f t="shared" si="16"/>
        <v>162.97118837999997</v>
      </c>
      <c r="K20" s="20">
        <f t="shared" si="17"/>
        <v>162.97118837999997</v>
      </c>
      <c r="M20" s="147">
        <f>F20*C20+H20*C21+J20*C22</f>
        <v>17994933.697679996</v>
      </c>
    </row>
    <row r="21" spans="2:14" s="3" customFormat="1" ht="15.6">
      <c r="B21" s="7" t="s">
        <v>112</v>
      </c>
      <c r="C21" s="52">
        <f>Scenarios!C13</f>
        <v>36000</v>
      </c>
      <c r="E21" s="53" t="s">
        <v>113</v>
      </c>
      <c r="F21" s="24">
        <f t="shared" ref="F21:K21" si="18">F5+F6++F7+F8+F11+F13+F16+F18+F20</f>
        <v>570.85289444444436</v>
      </c>
      <c r="G21" s="18">
        <f t="shared" si="18"/>
        <v>526.40575429036653</v>
      </c>
      <c r="H21" s="37">
        <f t="shared" si="18"/>
        <v>429.60213100000004</v>
      </c>
      <c r="I21" s="38">
        <f t="shared" si="18"/>
        <v>400.87946233068112</v>
      </c>
      <c r="J21" s="37">
        <f t="shared" si="18"/>
        <v>421.10668837999992</v>
      </c>
      <c r="K21" s="39">
        <f t="shared" si="18"/>
        <v>392.94773652484048</v>
      </c>
    </row>
    <row r="22" spans="2:14" ht="15.6">
      <c r="B22" s="7" t="s">
        <v>114</v>
      </c>
      <c r="C22" s="52">
        <f>Scenarios!C14</f>
        <v>36000</v>
      </c>
      <c r="E22" s="16" t="s">
        <v>136</v>
      </c>
      <c r="F22" s="17">
        <f>'BOM&amp;ASP'!C10</f>
        <v>568.63649999999996</v>
      </c>
      <c r="G22" s="54">
        <f t="shared" ref="G22:K22" si="19">F22/1.13</f>
        <v>503.21814159292035</v>
      </c>
      <c r="H22" s="17">
        <f>(F22-3)*0.98</f>
        <v>554.32376999999997</v>
      </c>
      <c r="I22" s="55">
        <f t="shared" si="19"/>
        <v>490.55200884955752</v>
      </c>
      <c r="J22" s="17">
        <f>H22*0.98</f>
        <v>543.23729459999993</v>
      </c>
      <c r="K22" s="56">
        <f t="shared" si="19"/>
        <v>480.74096867256634</v>
      </c>
    </row>
    <row r="23" spans="2:14">
      <c r="B23" s="7"/>
      <c r="C23" s="57"/>
      <c r="E23" s="23" t="s">
        <v>115</v>
      </c>
      <c r="F23" s="24">
        <f t="shared" ref="F23:K23" si="20">F22-F5</f>
        <v>318.63649999999996</v>
      </c>
      <c r="G23" s="18">
        <f t="shared" si="20"/>
        <v>281.97920353982295</v>
      </c>
      <c r="H23" s="24">
        <f t="shared" si="20"/>
        <v>309.32376999999997</v>
      </c>
      <c r="I23" s="25">
        <f t="shared" si="20"/>
        <v>273.73784955752211</v>
      </c>
      <c r="J23" s="24">
        <f t="shared" si="20"/>
        <v>303.1372945999999</v>
      </c>
      <c r="K23" s="20">
        <f t="shared" si="20"/>
        <v>268.2630925663716</v>
      </c>
    </row>
    <row r="24" spans="2:14" ht="15.6">
      <c r="B24" s="7" t="s">
        <v>116</v>
      </c>
      <c r="C24" s="58">
        <v>0</v>
      </c>
      <c r="E24" s="53" t="s">
        <v>117</v>
      </c>
      <c r="F24" s="59">
        <f t="shared" ref="F24:K24" si="21">F23/F22</f>
        <v>0.56035182405631712</v>
      </c>
      <c r="G24" s="42">
        <f t="shared" si="21"/>
        <v>0.560351824056317</v>
      </c>
      <c r="H24" s="59">
        <f t="shared" si="21"/>
        <v>0.55802003583573545</v>
      </c>
      <c r="I24" s="43">
        <f t="shared" si="21"/>
        <v>0.55802003583573545</v>
      </c>
      <c r="J24" s="59">
        <f t="shared" si="21"/>
        <v>0.55802003583573534</v>
      </c>
      <c r="K24" s="44">
        <f t="shared" si="21"/>
        <v>0.55802003583573534</v>
      </c>
    </row>
    <row r="25" spans="2:14">
      <c r="B25" s="7" t="s">
        <v>118</v>
      </c>
      <c r="C25" s="58">
        <v>0</v>
      </c>
      <c r="E25" s="23" t="s">
        <v>119</v>
      </c>
      <c r="F25" s="24">
        <f t="shared" ref="F25:K25" si="22">F22-F21</f>
        <v>-2.2163944444444041</v>
      </c>
      <c r="G25" s="18">
        <f t="shared" si="22"/>
        <v>-23.187612697446184</v>
      </c>
      <c r="H25" s="24">
        <f t="shared" si="22"/>
        <v>124.72163899999993</v>
      </c>
      <c r="I25" s="25">
        <f t="shared" si="22"/>
        <v>89.672546518876402</v>
      </c>
      <c r="J25" s="24">
        <f t="shared" si="22"/>
        <v>122.13060622</v>
      </c>
      <c r="K25" s="20">
        <f t="shared" si="22"/>
        <v>87.79323214772586</v>
      </c>
    </row>
    <row r="26" spans="2:14" ht="15.6">
      <c r="B26" s="30" t="s">
        <v>120</v>
      </c>
      <c r="C26" s="60">
        <v>0</v>
      </c>
      <c r="E26" s="53" t="s">
        <v>121</v>
      </c>
      <c r="F26" s="59">
        <f t="shared" ref="F26:K26" si="23">F25/F22</f>
        <v>-3.8977350986867786E-3</v>
      </c>
      <c r="G26" s="42">
        <f t="shared" si="23"/>
        <v>-4.607865015368199E-2</v>
      </c>
      <c r="H26" s="59">
        <f t="shared" si="23"/>
        <v>0.22499781851317674</v>
      </c>
      <c r="I26" s="43">
        <f t="shared" si="23"/>
        <v>0.18279926470829555</v>
      </c>
      <c r="J26" s="59">
        <f t="shared" si="23"/>
        <v>0.22481999567045194</v>
      </c>
      <c r="K26" s="44">
        <f t="shared" si="23"/>
        <v>0.18262065825207838</v>
      </c>
      <c r="M26" s="3"/>
      <c r="N26" s="3"/>
    </row>
    <row r="27" spans="2:14" ht="15.6">
      <c r="E27" s="53" t="s">
        <v>122</v>
      </c>
      <c r="F27" s="61">
        <f>C20+C24</f>
        <v>36000</v>
      </c>
      <c r="G27" s="62">
        <f t="shared" ref="G27:K27" si="24">F27</f>
        <v>36000</v>
      </c>
      <c r="H27" s="63">
        <f>C21+C25</f>
        <v>36000</v>
      </c>
      <c r="I27" s="64">
        <f t="shared" si="24"/>
        <v>36000</v>
      </c>
      <c r="J27" s="63">
        <f>C22+C26</f>
        <v>36000</v>
      </c>
      <c r="K27" s="65">
        <f t="shared" si="24"/>
        <v>36000</v>
      </c>
      <c r="M27" s="66"/>
      <c r="N27" s="66"/>
    </row>
    <row r="28" spans="2:14" ht="15.6">
      <c r="B28" s="5" t="s">
        <v>123</v>
      </c>
      <c r="C28" s="36">
        <f>F5</f>
        <v>250</v>
      </c>
      <c r="E28" s="53" t="s">
        <v>124</v>
      </c>
      <c r="F28" s="67">
        <f t="shared" ref="F28:K28" si="25">F27*F22</f>
        <v>20470914</v>
      </c>
      <c r="G28" s="18">
        <f t="shared" si="25"/>
        <v>18115853.097345132</v>
      </c>
      <c r="H28" s="68">
        <f t="shared" si="25"/>
        <v>19955655.719999999</v>
      </c>
      <c r="I28" s="69">
        <f t="shared" si="25"/>
        <v>17659872.31858407</v>
      </c>
      <c r="J28" s="68">
        <f t="shared" si="25"/>
        <v>19556542.605599996</v>
      </c>
      <c r="K28" s="70">
        <f t="shared" si="25"/>
        <v>17306674.872212388</v>
      </c>
    </row>
    <row r="29" spans="2:14" ht="15.6">
      <c r="B29" s="30"/>
      <c r="C29" s="49"/>
      <c r="E29" s="53" t="s">
        <v>125</v>
      </c>
      <c r="F29" s="71">
        <f t="shared" ref="F29:K29" si="26">F27*F25</f>
        <v>-79790.199999998556</v>
      </c>
      <c r="G29" s="72">
        <f t="shared" si="26"/>
        <v>-834754.05710806267</v>
      </c>
      <c r="H29" s="73">
        <f t="shared" si="26"/>
        <v>4489979.0039999969</v>
      </c>
      <c r="I29" s="74">
        <f t="shared" si="26"/>
        <v>3228211.6746795503</v>
      </c>
      <c r="J29" s="73">
        <f t="shared" si="26"/>
        <v>4396701.8239200003</v>
      </c>
      <c r="K29" s="75">
        <f t="shared" si="26"/>
        <v>3160556.3573181308</v>
      </c>
    </row>
    <row r="39" spans="1:10">
      <c r="A39" s="76"/>
      <c r="D39" s="77"/>
    </row>
    <row r="40" spans="1:10">
      <c r="D40" s="1"/>
    </row>
    <row r="43" spans="1:10">
      <c r="D43" s="78"/>
    </row>
    <row r="46" spans="1:10">
      <c r="J46" s="50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126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8"/>
  <sheetViews>
    <sheetView zoomScale="80" zoomScaleNormal="80" workbookViewId="0">
      <selection activeCell="I23" sqref="I23"/>
    </sheetView>
  </sheetViews>
  <sheetFormatPr defaultColWidth="10.88671875" defaultRowHeight="15"/>
  <cols>
    <col min="1" max="1" width="4.77734375" style="4" customWidth="1"/>
    <col min="2" max="2" width="27.77734375" style="4" customWidth="1"/>
    <col min="3" max="3" width="18" style="4" customWidth="1"/>
    <col min="4" max="4" width="4.77734375" style="4" customWidth="1"/>
    <col min="5" max="5" width="29.77734375" style="4" customWidth="1"/>
    <col min="6" max="6" width="23.33203125" style="4" customWidth="1"/>
    <col min="7" max="8" width="20.109375" style="4" customWidth="1"/>
    <col min="9" max="9" width="17.88671875" style="4" customWidth="1"/>
    <col min="10" max="10" width="18.6640625" style="4" customWidth="1"/>
    <col min="11" max="11" width="17.88671875" style="4" customWidth="1"/>
    <col min="12" max="12" width="4.77734375" style="4" customWidth="1"/>
    <col min="13" max="13" width="16.77734375" style="4" customWidth="1"/>
    <col min="14" max="14" width="18.44140625" style="4" bestFit="1" customWidth="1"/>
    <col min="15" max="15" width="20.109375" style="4" customWidth="1"/>
    <col min="16" max="16" width="31.5546875" style="4" customWidth="1"/>
    <col min="17" max="16384" width="10.88671875" style="4"/>
  </cols>
  <sheetData>
    <row r="1" spans="2:26" s="1" customFormat="1" ht="20.399999999999999">
      <c r="B1" s="202" t="s">
        <v>128</v>
      </c>
      <c r="C1" s="202"/>
    </row>
    <row r="2" spans="2:26" s="1" customFormat="1"/>
    <row r="3" spans="2:26" s="1" customFormat="1" ht="16.2">
      <c r="B3" s="5" t="s">
        <v>8</v>
      </c>
      <c r="C3" s="6">
        <f>Budget!H3</f>
        <v>600000</v>
      </c>
      <c r="E3" s="4"/>
      <c r="F3" s="179" t="s">
        <v>65</v>
      </c>
      <c r="G3" s="180"/>
      <c r="H3" s="181" t="s">
        <v>66</v>
      </c>
      <c r="I3" s="182"/>
      <c r="J3" s="183" t="s">
        <v>67</v>
      </c>
      <c r="K3" s="184"/>
      <c r="M3" s="185" t="s">
        <v>132</v>
      </c>
      <c r="N3" s="186"/>
    </row>
    <row r="4" spans="2:26" s="1" customFormat="1" ht="15.6">
      <c r="B4" s="7" t="s">
        <v>11</v>
      </c>
      <c r="C4" s="8">
        <f>Budget!H4</f>
        <v>500000</v>
      </c>
      <c r="E4" s="2"/>
      <c r="F4" s="9" t="s">
        <v>68</v>
      </c>
      <c r="G4" s="10" t="s">
        <v>69</v>
      </c>
      <c r="H4" s="9" t="s">
        <v>68</v>
      </c>
      <c r="I4" s="11" t="s">
        <v>69</v>
      </c>
      <c r="J4" s="12" t="s">
        <v>68</v>
      </c>
      <c r="K4" s="13" t="s">
        <v>69</v>
      </c>
      <c r="M4" s="14"/>
      <c r="N4" s="15" t="s">
        <v>70</v>
      </c>
    </row>
    <row r="5" spans="2:26" s="1" customFormat="1" ht="15.6">
      <c r="B5" s="7" t="s">
        <v>71</v>
      </c>
      <c r="C5" s="8">
        <f>Budget!H5</f>
        <v>375550</v>
      </c>
      <c r="E5" s="16" t="s">
        <v>72</v>
      </c>
      <c r="F5" s="17">
        <f>'BOM&amp;ASP'!F3</f>
        <v>250</v>
      </c>
      <c r="G5" s="18">
        <f t="shared" ref="G5:K5" si="0">F5/1.13</f>
        <v>221.23893805309737</v>
      </c>
      <c r="H5" s="17">
        <f>F5*0.98</f>
        <v>245</v>
      </c>
      <c r="I5" s="19">
        <f t="shared" si="0"/>
        <v>216.81415929203541</v>
      </c>
      <c r="J5" s="17">
        <f>H5*0.98</f>
        <v>240.1</v>
      </c>
      <c r="K5" s="20">
        <f t="shared" si="0"/>
        <v>212.47787610619471</v>
      </c>
      <c r="M5" s="21" t="s">
        <v>73</v>
      </c>
      <c r="N5" s="22">
        <f>G22</f>
        <v>503.21814159292035</v>
      </c>
    </row>
    <row r="6" spans="2:26" s="1" customFormat="1" ht="15.6">
      <c r="B6" s="7" t="s">
        <v>74</v>
      </c>
      <c r="C6" s="8">
        <f>Budget!H6</f>
        <v>145000</v>
      </c>
      <c r="E6" s="23" t="s">
        <v>75</v>
      </c>
      <c r="F6" s="24">
        <f t="shared" ref="F6:J6" si="1">$C$16+$C$17</f>
        <v>0</v>
      </c>
      <c r="G6" s="18">
        <f t="shared" ref="G6:K6" si="2">F6</f>
        <v>0</v>
      </c>
      <c r="H6" s="24">
        <f t="shared" si="1"/>
        <v>0</v>
      </c>
      <c r="I6" s="25">
        <f t="shared" si="2"/>
        <v>0</v>
      </c>
      <c r="J6" s="24">
        <f t="shared" si="1"/>
        <v>0</v>
      </c>
      <c r="K6" s="20">
        <f t="shared" si="2"/>
        <v>0</v>
      </c>
      <c r="M6" s="26" t="s">
        <v>76</v>
      </c>
      <c r="N6" s="134">
        <f>(N5-N7)/N5</f>
        <v>0.560351824056317</v>
      </c>
    </row>
    <row r="7" spans="2:26" s="1" customFormat="1" ht="15.6">
      <c r="B7" s="7" t="s">
        <v>20</v>
      </c>
      <c r="C7" s="8">
        <f>Budget!H7</f>
        <v>150000</v>
      </c>
      <c r="E7" s="23" t="s">
        <v>77</v>
      </c>
      <c r="F7" s="24">
        <f>(C3+C4-D3)/C20</f>
        <v>76.388888888888886</v>
      </c>
      <c r="G7" s="18">
        <f t="shared" ref="G7:K7" si="3">F7/1.13</f>
        <v>67.60078662733531</v>
      </c>
      <c r="H7" s="24">
        <v>0</v>
      </c>
      <c r="I7" s="25">
        <f t="shared" si="3"/>
        <v>0</v>
      </c>
      <c r="J7" s="24">
        <v>0</v>
      </c>
      <c r="K7" s="20">
        <f t="shared" si="3"/>
        <v>0</v>
      </c>
      <c r="M7" s="27" t="s">
        <v>78</v>
      </c>
      <c r="N7" s="28">
        <f>G5</f>
        <v>221.23893805309737</v>
      </c>
    </row>
    <row r="8" spans="2:26" s="1" customFormat="1" ht="15.6">
      <c r="B8" s="7" t="s">
        <v>79</v>
      </c>
      <c r="C8" s="8">
        <f>Budget!H8</f>
        <v>2970000</v>
      </c>
      <c r="E8" s="23" t="s">
        <v>80</v>
      </c>
      <c r="F8" s="24">
        <f>(C9-C3-C4)/C20</f>
        <v>252.81597222222223</v>
      </c>
      <c r="G8" s="18">
        <f>F8/1.13</f>
        <v>223.73094886922323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81</v>
      </c>
      <c r="N8" s="29"/>
    </row>
    <row r="9" spans="2:26" s="1" customFormat="1" ht="15.6">
      <c r="B9" s="30" t="s">
        <v>82</v>
      </c>
      <c r="C9" s="31">
        <f>SUM(C3:C8)</f>
        <v>4740550</v>
      </c>
      <c r="E9" s="16" t="s">
        <v>83</v>
      </c>
      <c r="F9" s="32">
        <v>0</v>
      </c>
      <c r="G9" s="18">
        <f t="shared" ref="G9:K9" si="4">F9/1.09</f>
        <v>0</v>
      </c>
      <c r="H9" s="32">
        <f t="shared" ref="H9:H14" si="5">F9</f>
        <v>0</v>
      </c>
      <c r="I9" s="25">
        <f t="shared" si="4"/>
        <v>0</v>
      </c>
      <c r="J9" s="32">
        <f>H9</f>
        <v>0</v>
      </c>
      <c r="K9" s="20">
        <f t="shared" si="4"/>
        <v>0</v>
      </c>
      <c r="M9" s="27" t="s">
        <v>84</v>
      </c>
      <c r="N9" s="33">
        <f>SUM(C20:C26)</f>
        <v>43200</v>
      </c>
    </row>
    <row r="10" spans="2:26" s="1" customFormat="1" ht="15.6">
      <c r="E10" s="16" t="s">
        <v>85</v>
      </c>
      <c r="F10" s="34">
        <v>0.57999999999999996</v>
      </c>
      <c r="G10" s="18">
        <f t="shared" ref="G10:K10" si="6">F10/1.09</f>
        <v>0.53211009174311896</v>
      </c>
      <c r="H10" s="32">
        <f t="shared" si="5"/>
        <v>0.57999999999999996</v>
      </c>
      <c r="I10" s="25">
        <f t="shared" si="6"/>
        <v>0.53211009174311896</v>
      </c>
      <c r="J10" s="32">
        <f>H10</f>
        <v>0.57999999999999996</v>
      </c>
      <c r="K10" s="20">
        <f t="shared" si="6"/>
        <v>0.53211009174311896</v>
      </c>
      <c r="M10" s="27" t="s">
        <v>86</v>
      </c>
      <c r="N10" s="35">
        <f>G28+I28+K28</f>
        <v>21232960.115256637</v>
      </c>
    </row>
    <row r="11" spans="2:26" ht="15.6">
      <c r="B11" s="5" t="s">
        <v>87</v>
      </c>
      <c r="C11" s="36">
        <v>0</v>
      </c>
      <c r="E11" s="23" t="s">
        <v>88</v>
      </c>
      <c r="F11" s="24">
        <f t="shared" ref="F11:K11" si="7">F10+F9</f>
        <v>0.57999999999999996</v>
      </c>
      <c r="G11" s="18">
        <f t="shared" si="7"/>
        <v>0.53211009174311896</v>
      </c>
      <c r="H11" s="37">
        <f t="shared" si="7"/>
        <v>0.57999999999999996</v>
      </c>
      <c r="I11" s="38">
        <f t="shared" si="7"/>
        <v>0.53211009174311896</v>
      </c>
      <c r="J11" s="37">
        <f t="shared" si="7"/>
        <v>0.57999999999999996</v>
      </c>
      <c r="K11" s="39">
        <f t="shared" si="7"/>
        <v>0.53211009174311896</v>
      </c>
      <c r="M11" s="27" t="s">
        <v>89</v>
      </c>
      <c r="N11" s="35">
        <f>G23*G27+I23*I27+K23*K27</f>
        <v>11865314.097557519</v>
      </c>
      <c r="Z11" s="1"/>
    </row>
    <row r="12" spans="2:26" ht="15.6">
      <c r="B12" s="7" t="s">
        <v>90</v>
      </c>
      <c r="C12" s="40">
        <v>0</v>
      </c>
      <c r="E12" s="16" t="s">
        <v>91</v>
      </c>
      <c r="F12" s="41">
        <v>0.05</v>
      </c>
      <c r="G12" s="42">
        <f t="shared" ref="G12:K12" si="8">F12</f>
        <v>0.05</v>
      </c>
      <c r="H12" s="41">
        <v>0.05</v>
      </c>
      <c r="I12" s="43">
        <f t="shared" si="8"/>
        <v>0.05</v>
      </c>
      <c r="J12" s="41">
        <v>0.05</v>
      </c>
      <c r="K12" s="44">
        <f t="shared" si="8"/>
        <v>0.05</v>
      </c>
      <c r="M12" s="27" t="s">
        <v>92</v>
      </c>
      <c r="N12" s="45">
        <f>N11/N10</f>
        <v>0.55881582375468541</v>
      </c>
    </row>
    <row r="13" spans="2:26" s="2" customFormat="1" ht="15.6">
      <c r="B13" s="7" t="s">
        <v>93</v>
      </c>
      <c r="C13" s="40">
        <v>0</v>
      </c>
      <c r="E13" s="23" t="s">
        <v>94</v>
      </c>
      <c r="F13" s="24">
        <f t="shared" ref="F13:J13" si="9">F12*F5</f>
        <v>12.5</v>
      </c>
      <c r="G13" s="18">
        <f t="shared" ref="G13:K13" si="10">F13</f>
        <v>12.5</v>
      </c>
      <c r="H13" s="24">
        <f t="shared" si="9"/>
        <v>12.25</v>
      </c>
      <c r="I13" s="25">
        <f t="shared" si="10"/>
        <v>12.25</v>
      </c>
      <c r="J13" s="24">
        <f t="shared" si="9"/>
        <v>12.005000000000001</v>
      </c>
      <c r="K13" s="20">
        <f t="shared" si="10"/>
        <v>12.005000000000001</v>
      </c>
      <c r="M13" s="27" t="s">
        <v>95</v>
      </c>
      <c r="N13" s="35">
        <f>G29+I29+K29</f>
        <v>-295500.60473441822</v>
      </c>
    </row>
    <row r="14" spans="2:26" s="3" customFormat="1" ht="15.6">
      <c r="B14" s="7" t="s">
        <v>96</v>
      </c>
      <c r="C14" s="40">
        <v>0</v>
      </c>
      <c r="E14" s="16" t="s">
        <v>97</v>
      </c>
      <c r="F14" s="41">
        <v>1.7000000000000001E-2</v>
      </c>
      <c r="G14" s="42">
        <f t="shared" ref="G14:K14" si="11">F14</f>
        <v>1.7000000000000001E-2</v>
      </c>
      <c r="H14" s="41">
        <f t="shared" si="5"/>
        <v>1.7000000000000001E-2</v>
      </c>
      <c r="I14" s="43">
        <f t="shared" si="11"/>
        <v>1.7000000000000001E-2</v>
      </c>
      <c r="J14" s="41">
        <f>F14</f>
        <v>1.7000000000000001E-2</v>
      </c>
      <c r="K14" s="44">
        <f t="shared" si="11"/>
        <v>1.7000000000000001E-2</v>
      </c>
      <c r="M14" s="26" t="s">
        <v>98</v>
      </c>
      <c r="N14" s="46">
        <f>N13/N10</f>
        <v>-1.3917070588857298E-2</v>
      </c>
    </row>
    <row r="15" spans="2:26" s="3" customFormat="1" ht="15.6">
      <c r="B15" s="7" t="s">
        <v>99</v>
      </c>
      <c r="C15" s="40">
        <v>0</v>
      </c>
      <c r="E15" s="23" t="s">
        <v>100</v>
      </c>
      <c r="F15" s="24">
        <f>C28*F14</f>
        <v>4.25</v>
      </c>
      <c r="G15" s="18">
        <f t="shared" ref="G15:K15" si="12">F15/1.13</f>
        <v>3.7610619469026552</v>
      </c>
      <c r="H15" s="37">
        <f>H14*C28</f>
        <v>4.25</v>
      </c>
      <c r="I15" s="38">
        <f t="shared" si="12"/>
        <v>3.7610619469026552</v>
      </c>
      <c r="J15" s="37">
        <f>J14*C28</f>
        <v>4.25</v>
      </c>
      <c r="K15" s="39">
        <f t="shared" si="12"/>
        <v>3.7610619469026552</v>
      </c>
      <c r="M15" s="21" t="s">
        <v>101</v>
      </c>
      <c r="N15" s="47">
        <f>C9</f>
        <v>4740550</v>
      </c>
    </row>
    <row r="16" spans="2:26" s="3" customFormat="1" ht="15.6">
      <c r="B16" s="7" t="s">
        <v>102</v>
      </c>
      <c r="C16" s="48">
        <f>SUM(C11:C15)</f>
        <v>0</v>
      </c>
      <c r="E16" s="23" t="s">
        <v>103</v>
      </c>
      <c r="F16" s="24">
        <f t="shared" ref="F16:K16" si="13">F15</f>
        <v>4.25</v>
      </c>
      <c r="G16" s="18">
        <f t="shared" si="13"/>
        <v>3.7610619469026552</v>
      </c>
      <c r="H16" s="37">
        <f t="shared" si="13"/>
        <v>4.25</v>
      </c>
      <c r="I16" s="38">
        <f t="shared" si="13"/>
        <v>3.7610619469026552</v>
      </c>
      <c r="J16" s="37">
        <f t="shared" si="13"/>
        <v>4.25</v>
      </c>
      <c r="K16" s="39">
        <f t="shared" si="13"/>
        <v>3.7610619469026552</v>
      </c>
      <c r="M16" s="26" t="s">
        <v>104</v>
      </c>
      <c r="N16" s="153">
        <f>N13/N15</f>
        <v>-6.2334666807526175E-2</v>
      </c>
    </row>
    <row r="17" spans="2:14" s="3" customFormat="1" ht="15.6">
      <c r="B17" s="30" t="s">
        <v>105</v>
      </c>
      <c r="C17" s="49">
        <v>0</v>
      </c>
      <c r="E17" s="16" t="s">
        <v>106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107</v>
      </c>
      <c r="F18" s="24">
        <f t="shared" ref="F18:J18" si="14">F5*F17</f>
        <v>1.25</v>
      </c>
      <c r="G18" s="18">
        <f t="shared" ref="G18:K18" si="15">F18</f>
        <v>1.25</v>
      </c>
      <c r="H18" s="37">
        <f t="shared" si="14"/>
        <v>1.2250000000000001</v>
      </c>
      <c r="I18" s="38">
        <f t="shared" si="15"/>
        <v>1.2250000000000001</v>
      </c>
      <c r="J18" s="37">
        <f t="shared" si="14"/>
        <v>1.2004999999999999</v>
      </c>
      <c r="K18" s="39">
        <f t="shared" si="15"/>
        <v>1.2004999999999999</v>
      </c>
    </row>
    <row r="19" spans="2:14" ht="15.6">
      <c r="B19" s="50" t="s">
        <v>108</v>
      </c>
      <c r="E19" s="16" t="s">
        <v>109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110</v>
      </c>
      <c r="C20" s="51">
        <f>Scenarios!C20</f>
        <v>14400</v>
      </c>
      <c r="D20" s="3"/>
      <c r="E20" s="23" t="s">
        <v>111</v>
      </c>
      <c r="F20" s="24">
        <f t="shared" ref="F20:J20" si="16">F19*F22</f>
        <v>170.59094999999999</v>
      </c>
      <c r="G20" s="18">
        <f t="shared" ref="G20:K20" si="17">F20</f>
        <v>170.59094999999999</v>
      </c>
      <c r="H20" s="24">
        <f t="shared" si="16"/>
        <v>166.29713099999998</v>
      </c>
      <c r="I20" s="25">
        <f t="shared" si="17"/>
        <v>166.29713099999998</v>
      </c>
      <c r="J20" s="24">
        <f t="shared" si="16"/>
        <v>162.97118837999997</v>
      </c>
      <c r="K20" s="20">
        <f t="shared" si="17"/>
        <v>162.97118837999997</v>
      </c>
      <c r="M20" s="147">
        <f>F20*C20+H20*C21+J20*C22</f>
        <v>7197973.479071999</v>
      </c>
    </row>
    <row r="21" spans="2:14" s="3" customFormat="1" ht="15.6">
      <c r="B21" s="7" t="s">
        <v>112</v>
      </c>
      <c r="C21" s="52">
        <f>Scenarios!C21</f>
        <v>14400</v>
      </c>
      <c r="E21" s="53" t="s">
        <v>113</v>
      </c>
      <c r="F21" s="24">
        <f t="shared" ref="F21:K21" si="18">F5+F6++F7+F8+F11+F13+F16+F18+F20</f>
        <v>768.37581111111115</v>
      </c>
      <c r="G21" s="18">
        <f t="shared" si="18"/>
        <v>701.20479558830164</v>
      </c>
      <c r="H21" s="37">
        <f t="shared" si="18"/>
        <v>429.60213100000004</v>
      </c>
      <c r="I21" s="38">
        <f t="shared" si="18"/>
        <v>400.87946233068112</v>
      </c>
      <c r="J21" s="37">
        <f t="shared" si="18"/>
        <v>421.10668837999992</v>
      </c>
      <c r="K21" s="39">
        <f t="shared" si="18"/>
        <v>392.94773652484048</v>
      </c>
    </row>
    <row r="22" spans="2:14" ht="15.6">
      <c r="B22" s="7" t="s">
        <v>114</v>
      </c>
      <c r="C22" s="52">
        <f>Scenarios!C22</f>
        <v>14400</v>
      </c>
      <c r="E22" s="16" t="s">
        <v>136</v>
      </c>
      <c r="F22" s="17">
        <f>'BOM&amp;ASP'!C10</f>
        <v>568.63649999999996</v>
      </c>
      <c r="G22" s="54">
        <f t="shared" ref="G22:K22" si="19">F22/1.13</f>
        <v>503.21814159292035</v>
      </c>
      <c r="H22" s="17">
        <f>(F22-3)*0.98</f>
        <v>554.32376999999997</v>
      </c>
      <c r="I22" s="55">
        <f t="shared" si="19"/>
        <v>490.55200884955752</v>
      </c>
      <c r="J22" s="17">
        <f>H22*0.98</f>
        <v>543.23729459999993</v>
      </c>
      <c r="K22" s="56">
        <f t="shared" si="19"/>
        <v>480.74096867256634</v>
      </c>
    </row>
    <row r="23" spans="2:14">
      <c r="B23" s="7"/>
      <c r="C23" s="57"/>
      <c r="E23" s="23" t="s">
        <v>115</v>
      </c>
      <c r="F23" s="24">
        <f t="shared" ref="F23:K23" si="20">F22-F5</f>
        <v>318.63649999999996</v>
      </c>
      <c r="G23" s="18">
        <f t="shared" si="20"/>
        <v>281.97920353982295</v>
      </c>
      <c r="H23" s="24">
        <f t="shared" si="20"/>
        <v>309.32376999999997</v>
      </c>
      <c r="I23" s="25">
        <f t="shared" si="20"/>
        <v>273.73784955752211</v>
      </c>
      <c r="J23" s="24">
        <f t="shared" si="20"/>
        <v>303.1372945999999</v>
      </c>
      <c r="K23" s="20">
        <f t="shared" si="20"/>
        <v>268.2630925663716</v>
      </c>
    </row>
    <row r="24" spans="2:14" ht="15.6">
      <c r="B24" s="7" t="s">
        <v>116</v>
      </c>
      <c r="C24" s="58">
        <v>0</v>
      </c>
      <c r="E24" s="53" t="s">
        <v>117</v>
      </c>
      <c r="F24" s="59">
        <f t="shared" ref="F24:K24" si="21">F23/F22</f>
        <v>0.56035182405631712</v>
      </c>
      <c r="G24" s="42">
        <f t="shared" si="21"/>
        <v>0.560351824056317</v>
      </c>
      <c r="H24" s="59">
        <f t="shared" si="21"/>
        <v>0.55802003583573545</v>
      </c>
      <c r="I24" s="43">
        <f t="shared" si="21"/>
        <v>0.55802003583573545</v>
      </c>
      <c r="J24" s="59">
        <f t="shared" si="21"/>
        <v>0.55802003583573534</v>
      </c>
      <c r="K24" s="44">
        <f t="shared" si="21"/>
        <v>0.55802003583573534</v>
      </c>
    </row>
    <row r="25" spans="2:14">
      <c r="B25" s="7" t="s">
        <v>118</v>
      </c>
      <c r="C25" s="58">
        <v>0</v>
      </c>
      <c r="E25" s="23" t="s">
        <v>119</v>
      </c>
      <c r="F25" s="24">
        <f t="shared" ref="F25:K25" si="22">F22-F21</f>
        <v>-199.73931111111119</v>
      </c>
      <c r="G25" s="18">
        <f t="shared" si="22"/>
        <v>-197.98665399538129</v>
      </c>
      <c r="H25" s="24">
        <f t="shared" si="22"/>
        <v>124.72163899999993</v>
      </c>
      <c r="I25" s="25">
        <f t="shared" si="22"/>
        <v>89.672546518876402</v>
      </c>
      <c r="J25" s="24">
        <f t="shared" si="22"/>
        <v>122.13060622</v>
      </c>
      <c r="K25" s="20">
        <f t="shared" si="22"/>
        <v>87.79323214772586</v>
      </c>
    </row>
    <row r="26" spans="2:14" ht="15.6">
      <c r="B26" s="30" t="s">
        <v>120</v>
      </c>
      <c r="C26" s="60">
        <v>0</v>
      </c>
      <c r="E26" s="53" t="s">
        <v>121</v>
      </c>
      <c r="F26" s="59">
        <f t="shared" ref="F26:K26" si="23">F25/F22</f>
        <v>-0.3512600951769913</v>
      </c>
      <c r="G26" s="42">
        <f t="shared" si="23"/>
        <v>-0.39344101023198624</v>
      </c>
      <c r="H26" s="59">
        <f t="shared" si="23"/>
        <v>0.22499781851317674</v>
      </c>
      <c r="I26" s="43">
        <f t="shared" si="23"/>
        <v>0.18279926470829555</v>
      </c>
      <c r="J26" s="59">
        <f t="shared" si="23"/>
        <v>0.22481999567045194</v>
      </c>
      <c r="K26" s="44">
        <f t="shared" si="23"/>
        <v>0.18262065825207838</v>
      </c>
      <c r="M26" s="3"/>
      <c r="N26" s="3"/>
    </row>
    <row r="27" spans="2:14" ht="15.6">
      <c r="E27" s="53" t="s">
        <v>122</v>
      </c>
      <c r="F27" s="61">
        <f>C20+C24</f>
        <v>14400</v>
      </c>
      <c r="G27" s="62">
        <f t="shared" ref="G27:K27" si="24">F27</f>
        <v>14400</v>
      </c>
      <c r="H27" s="63">
        <f>C21+C25</f>
        <v>14400</v>
      </c>
      <c r="I27" s="64">
        <f t="shared" si="24"/>
        <v>14400</v>
      </c>
      <c r="J27" s="63">
        <f>C22+C26</f>
        <v>14400</v>
      </c>
      <c r="K27" s="65">
        <f t="shared" si="24"/>
        <v>14400</v>
      </c>
      <c r="M27" s="66"/>
      <c r="N27" s="66"/>
    </row>
    <row r="28" spans="2:14" ht="15.6">
      <c r="B28" s="5" t="s">
        <v>123</v>
      </c>
      <c r="C28" s="36">
        <f>F5</f>
        <v>250</v>
      </c>
      <c r="E28" s="53" t="s">
        <v>124</v>
      </c>
      <c r="F28" s="67">
        <f t="shared" ref="F28:K28" si="25">F27*F22</f>
        <v>8188365.5999999996</v>
      </c>
      <c r="G28" s="18">
        <f t="shared" si="25"/>
        <v>7246341.2389380531</v>
      </c>
      <c r="H28" s="68">
        <f t="shared" si="25"/>
        <v>7982262.2879999997</v>
      </c>
      <c r="I28" s="69">
        <f t="shared" si="25"/>
        <v>7063948.9274336286</v>
      </c>
      <c r="J28" s="68">
        <f t="shared" si="25"/>
        <v>7822617.0422399994</v>
      </c>
      <c r="K28" s="70">
        <f t="shared" si="25"/>
        <v>6922669.9488849556</v>
      </c>
    </row>
    <row r="29" spans="2:14" ht="15.6">
      <c r="B29" s="30"/>
      <c r="C29" s="49"/>
      <c r="E29" s="53" t="s">
        <v>125</v>
      </c>
      <c r="F29" s="71">
        <f t="shared" ref="F29:K29" si="26">F27*F25</f>
        <v>-2876246.080000001</v>
      </c>
      <c r="G29" s="72">
        <f t="shared" si="26"/>
        <v>-2851007.8175334907</v>
      </c>
      <c r="H29" s="73">
        <f t="shared" si="26"/>
        <v>1795991.601599999</v>
      </c>
      <c r="I29" s="74">
        <f t="shared" si="26"/>
        <v>1291284.6698718201</v>
      </c>
      <c r="J29" s="73">
        <f t="shared" si="26"/>
        <v>1758680.729568</v>
      </c>
      <c r="K29" s="75">
        <f t="shared" si="26"/>
        <v>1264222.5429272524</v>
      </c>
    </row>
    <row r="39" spans="1:10">
      <c r="A39" s="76"/>
      <c r="D39" s="77"/>
    </row>
    <row r="40" spans="1:10">
      <c r="D40" s="1"/>
    </row>
    <row r="43" spans="1:10">
      <c r="D43" s="78"/>
    </row>
    <row r="46" spans="1:10">
      <c r="J46" s="50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126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3E0E-9738-4BBF-AFE4-C8202F0196C0}">
  <dimension ref="B2:C11"/>
  <sheetViews>
    <sheetView showGridLines="0" workbookViewId="0">
      <selection activeCell="C10" sqref="C10"/>
    </sheetView>
  </sheetViews>
  <sheetFormatPr defaultColWidth="8.88671875" defaultRowHeight="13.8"/>
  <cols>
    <col min="1" max="1" width="4" style="137" customWidth="1"/>
    <col min="2" max="2" width="36.77734375" style="137" customWidth="1"/>
    <col min="3" max="3" width="110.5546875" style="137" customWidth="1"/>
    <col min="4" max="16384" width="8.88671875" style="137"/>
  </cols>
  <sheetData>
    <row r="2" spans="2:3" ht="20.399999999999999">
      <c r="B2" s="136" t="s">
        <v>138</v>
      </c>
    </row>
    <row r="3" spans="2:3" ht="15">
      <c r="B3" s="138" t="s">
        <v>182</v>
      </c>
    </row>
    <row r="5" spans="2:3" ht="45" customHeight="1">
      <c r="B5" s="139" t="s">
        <v>139</v>
      </c>
      <c r="C5" s="140" t="s">
        <v>140</v>
      </c>
    </row>
    <row r="6" spans="2:3" ht="30" customHeight="1">
      <c r="B6" s="139" t="s">
        <v>141</v>
      </c>
      <c r="C6" s="140" t="s">
        <v>142</v>
      </c>
    </row>
    <row r="7" spans="2:3" ht="45" customHeight="1">
      <c r="B7" s="139" t="s">
        <v>143</v>
      </c>
      <c r="C7" s="140" t="s">
        <v>144</v>
      </c>
    </row>
    <row r="8" spans="2:3" ht="60" customHeight="1">
      <c r="B8" s="139" t="s">
        <v>145</v>
      </c>
      <c r="C8" s="140" t="s">
        <v>146</v>
      </c>
    </row>
    <row r="9" spans="2:3" ht="60" customHeight="1">
      <c r="B9" s="139" t="s">
        <v>147</v>
      </c>
      <c r="C9" s="140" t="s">
        <v>148</v>
      </c>
    </row>
    <row r="10" spans="2:3" ht="45" customHeight="1">
      <c r="B10" s="139" t="s">
        <v>149</v>
      </c>
      <c r="C10" s="140" t="s">
        <v>150</v>
      </c>
    </row>
    <row r="11" spans="2:3" ht="60" customHeight="1">
      <c r="B11" s="139" t="s">
        <v>151</v>
      </c>
      <c r="C11" s="140" t="s">
        <v>152</v>
      </c>
    </row>
  </sheetData>
  <phoneticPr fontId="3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D8FE-1A8E-4B29-975C-7B30DDA191C4}">
  <dimension ref="B2:D23"/>
  <sheetViews>
    <sheetView topLeftCell="A11" workbookViewId="0">
      <selection activeCell="C29" sqref="C29"/>
    </sheetView>
  </sheetViews>
  <sheetFormatPr defaultRowHeight="13.8"/>
  <cols>
    <col min="2" max="2" width="33" customWidth="1"/>
    <col min="3" max="3" width="37.77734375" customWidth="1"/>
    <col min="5" max="5" width="44.44140625" customWidth="1"/>
  </cols>
  <sheetData>
    <row r="2" spans="2:4" ht="15.6">
      <c r="B2" s="204" t="s">
        <v>212</v>
      </c>
      <c r="C2" s="204"/>
    </row>
    <row r="3" spans="2:4" ht="15.6">
      <c r="B3" s="156" t="s">
        <v>196</v>
      </c>
      <c r="C3" s="156" t="s">
        <v>197</v>
      </c>
      <c r="D3" s="145"/>
    </row>
    <row r="4" spans="2:4" ht="15.6">
      <c r="B4" s="157" t="s">
        <v>198</v>
      </c>
      <c r="C4" s="157" t="s">
        <v>199</v>
      </c>
      <c r="D4" s="145"/>
    </row>
    <row r="5" spans="2:4" ht="15.6">
      <c r="B5" s="158" t="s">
        <v>162</v>
      </c>
      <c r="C5" s="158" t="s">
        <v>200</v>
      </c>
      <c r="D5" s="145"/>
    </row>
    <row r="6" spans="2:4" ht="15.6">
      <c r="B6" s="158" t="s">
        <v>178</v>
      </c>
      <c r="C6" s="158" t="s">
        <v>201</v>
      </c>
      <c r="D6" s="145"/>
    </row>
    <row r="7" spans="2:4" ht="15.6">
      <c r="B7" s="158" t="s">
        <v>202</v>
      </c>
      <c r="C7" s="158" t="s">
        <v>203</v>
      </c>
      <c r="D7" s="145"/>
    </row>
    <row r="8" spans="2:4" ht="15.6">
      <c r="B8" s="158" t="s">
        <v>204</v>
      </c>
      <c r="C8" s="158" t="s">
        <v>205</v>
      </c>
      <c r="D8" s="145"/>
    </row>
    <row r="9" spans="2:4" ht="15.6">
      <c r="B9" s="158" t="s">
        <v>206</v>
      </c>
      <c r="C9" s="158" t="s">
        <v>207</v>
      </c>
      <c r="D9" s="145"/>
    </row>
    <row r="10" spans="2:4" ht="15.6">
      <c r="B10" s="157" t="s">
        <v>208</v>
      </c>
      <c r="C10" s="159">
        <v>1.03E-2</v>
      </c>
      <c r="D10" s="145"/>
    </row>
    <row r="11" spans="2:4" ht="31.8" customHeight="1">
      <c r="B11" s="203" t="s">
        <v>214</v>
      </c>
      <c r="C11" s="203"/>
      <c r="D11" s="145"/>
    </row>
    <row r="12" spans="2:4" ht="15.6">
      <c r="B12" s="145"/>
      <c r="C12" s="145"/>
    </row>
    <row r="13" spans="2:4" ht="15.6">
      <c r="B13" s="204" t="s">
        <v>213</v>
      </c>
      <c r="C13" s="204"/>
      <c r="D13" s="145"/>
    </row>
    <row r="14" spans="2:4" ht="15.6">
      <c r="B14" s="156" t="s">
        <v>196</v>
      </c>
      <c r="C14" s="156" t="s">
        <v>197</v>
      </c>
      <c r="D14" s="145"/>
    </row>
    <row r="15" spans="2:4" ht="15.6">
      <c r="B15" s="157" t="s">
        <v>198</v>
      </c>
      <c r="C15" s="160">
        <v>0.41899999999999998</v>
      </c>
      <c r="D15" s="145"/>
    </row>
    <row r="16" spans="2:4" ht="15.6">
      <c r="B16" s="158" t="s">
        <v>162</v>
      </c>
      <c r="C16" s="161">
        <v>0.29099999999999998</v>
      </c>
      <c r="D16" s="145"/>
    </row>
    <row r="17" spans="2:4" ht="15.6">
      <c r="B17" s="158" t="s">
        <v>178</v>
      </c>
      <c r="C17" s="161">
        <v>0.54700000000000004</v>
      </c>
      <c r="D17" s="145"/>
    </row>
    <row r="18" spans="2:4" ht="15.6">
      <c r="B18" s="158" t="s">
        <v>202</v>
      </c>
      <c r="C18" s="161" t="s">
        <v>209</v>
      </c>
      <c r="D18" s="145"/>
    </row>
    <row r="19" spans="2:4" ht="15.6">
      <c r="B19" s="157" t="s">
        <v>210</v>
      </c>
      <c r="C19" s="160" t="s">
        <v>211</v>
      </c>
      <c r="D19" s="145"/>
    </row>
    <row r="20" spans="2:4" ht="33" customHeight="1">
      <c r="B20" s="205" t="s">
        <v>215</v>
      </c>
      <c r="C20" s="205"/>
    </row>
    <row r="22" spans="2:4">
      <c r="B22" s="207" t="s">
        <v>216</v>
      </c>
      <c r="C22" s="207"/>
    </row>
    <row r="23" spans="2:4" ht="63" customHeight="1">
      <c r="B23" s="206" t="s">
        <v>217</v>
      </c>
      <c r="C23" s="206"/>
    </row>
  </sheetData>
  <mergeCells count="6">
    <mergeCell ref="B11:C11"/>
    <mergeCell ref="B2:C2"/>
    <mergeCell ref="B13:C13"/>
    <mergeCell ref="B20:C20"/>
    <mergeCell ref="B23:C23"/>
    <mergeCell ref="B22:C22"/>
  </mergeCells>
  <phoneticPr fontId="4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Budget</vt:lpstr>
      <vt:lpstr>BOM&amp;ASP</vt:lpstr>
      <vt:lpstr>分位表</vt:lpstr>
      <vt:lpstr>Scenarios</vt:lpstr>
      <vt:lpstr>财务读数</vt:lpstr>
      <vt:lpstr>Normal Secnario</vt:lpstr>
      <vt:lpstr>Best Secnario</vt:lpstr>
      <vt:lpstr>Worst Secnario</vt:lpstr>
      <vt:lpstr>销量概率分布说明</vt:lpstr>
      <vt:lpstr>RCF数值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楠翔 盛</dc:creator>
  <cp:lastModifiedBy>楠翔 盛</cp:lastModifiedBy>
  <dcterms:created xsi:type="dcterms:W3CDTF">2023-12-04T08:32:00Z</dcterms:created>
  <dcterms:modified xsi:type="dcterms:W3CDTF">2026-10-28T08:06:39Z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9F6057C652064BAF9F931DE71358FBFE_13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