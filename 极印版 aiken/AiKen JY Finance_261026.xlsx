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code_aiken\极印版 aiken\"/>
    </mc:Choice>
  </mc:AlternateContent>
  <xr:revisionPtr revIDLastSave="0" documentId="13_ncr:1_{B9A33A59-2569-431E-A683-4C15AC328D46}" xr6:coauthVersionLast="47" xr6:coauthVersionMax="47" xr10:uidLastSave="{00000000-0000-0000-0000-000000000000}"/>
  <bookViews>
    <workbookView xWindow="16870" yWindow="80" windowWidth="17150" windowHeight="13550" tabRatio="787" firstSheet="3" activeTab="6" xr2:uid="{00000000-000D-0000-FFFF-FFFF00000000}"/>
  </bookViews>
  <sheets>
    <sheet name="Budget" sheetId="15" r:id="rId1"/>
    <sheet name="销量概率分布说明" sheetId="22" r:id="rId2"/>
    <sheet name="分位表" sheetId="23" r:id="rId3"/>
    <sheet name="Scenarios" sheetId="6" r:id="rId4"/>
    <sheet name="Reve per Price" sheetId="4" r:id="rId5"/>
    <sheet name="定价测算" sheetId="21" r:id="rId6"/>
    <sheet name="Normal Secnario" sheetId="2" r:id="rId7"/>
    <sheet name="Best Secnario" sheetId="20" r:id="rId8"/>
    <sheet name="Worst Secnario" sheetId="1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4" l="1"/>
  <c r="E15" i="4"/>
  <c r="C15" i="4"/>
  <c r="H5" i="15"/>
  <c r="H8" i="15"/>
  <c r="H14" i="15"/>
  <c r="H12" i="15"/>
  <c r="H15" i="4" l="1"/>
  <c r="H8" i="4"/>
  <c r="H5" i="4"/>
  <c r="H4" i="4"/>
  <c r="F22" i="2"/>
  <c r="F8" i="4"/>
  <c r="F5" i="4"/>
  <c r="F4" i="4"/>
  <c r="C22" i="6"/>
  <c r="C22" i="19" s="1"/>
  <c r="C21" i="6"/>
  <c r="C21" i="19" s="1"/>
  <c r="C20" i="6"/>
  <c r="C20" i="19" s="1"/>
  <c r="F8" i="19" s="1"/>
  <c r="C13" i="6"/>
  <c r="C21" i="20" s="1"/>
  <c r="C14" i="6"/>
  <c r="C22" i="20" s="1"/>
  <c r="C12" i="6"/>
  <c r="C20" i="20" s="1"/>
  <c r="F8" i="20" s="1"/>
  <c r="C5" i="6"/>
  <c r="C6" i="6"/>
  <c r="C22" i="2" s="1"/>
  <c r="J27" i="2" s="1"/>
  <c r="K27" i="2" s="1"/>
  <c r="C4" i="6"/>
  <c r="C20" i="2" s="1"/>
  <c r="F8" i="2" s="1"/>
  <c r="C8" i="20"/>
  <c r="F22" i="19"/>
  <c r="G22" i="19" s="1"/>
  <c r="N5" i="19" s="1"/>
  <c r="C16" i="19"/>
  <c r="J6" i="19" s="1"/>
  <c r="K6" i="19" s="1"/>
  <c r="K14" i="19"/>
  <c r="J14" i="19"/>
  <c r="I14" i="19"/>
  <c r="H14" i="19"/>
  <c r="G14" i="19"/>
  <c r="K12" i="19"/>
  <c r="I12" i="19"/>
  <c r="G12" i="19"/>
  <c r="K11" i="19"/>
  <c r="J11" i="19"/>
  <c r="I11" i="19"/>
  <c r="H11" i="19"/>
  <c r="G11" i="19"/>
  <c r="F11" i="19"/>
  <c r="K10" i="19"/>
  <c r="J10" i="19"/>
  <c r="I10" i="19"/>
  <c r="H10" i="19"/>
  <c r="G10" i="19"/>
  <c r="K9" i="19"/>
  <c r="J9" i="19"/>
  <c r="I9" i="19"/>
  <c r="H9" i="19"/>
  <c r="G9" i="19"/>
  <c r="K8" i="19"/>
  <c r="I8" i="19"/>
  <c r="K7" i="19"/>
  <c r="I7" i="19"/>
  <c r="C7" i="19"/>
  <c r="C6" i="19"/>
  <c r="C5" i="19"/>
  <c r="C4" i="19"/>
  <c r="C3" i="19"/>
  <c r="C16" i="20"/>
  <c r="J6" i="20" s="1"/>
  <c r="K6" i="20" s="1"/>
  <c r="K14" i="20"/>
  <c r="J14" i="20"/>
  <c r="I14" i="20"/>
  <c r="H14" i="20"/>
  <c r="G14" i="20"/>
  <c r="K12" i="20"/>
  <c r="I12" i="20"/>
  <c r="G12" i="20"/>
  <c r="K11" i="20"/>
  <c r="J11" i="20"/>
  <c r="I11" i="20"/>
  <c r="H11" i="20"/>
  <c r="G11" i="20"/>
  <c r="F11" i="20"/>
  <c r="K10" i="20"/>
  <c r="J10" i="20"/>
  <c r="I10" i="20"/>
  <c r="H10" i="20"/>
  <c r="G10" i="20"/>
  <c r="K9" i="20"/>
  <c r="J9" i="20"/>
  <c r="I9" i="20"/>
  <c r="H9" i="20"/>
  <c r="G9" i="20"/>
  <c r="K8" i="20"/>
  <c r="I8" i="20"/>
  <c r="K7" i="20"/>
  <c r="I7" i="20"/>
  <c r="C7" i="20"/>
  <c r="C6" i="20"/>
  <c r="C5" i="20"/>
  <c r="C4" i="20"/>
  <c r="C3" i="20"/>
  <c r="C16" i="2"/>
  <c r="H6" i="2" s="1"/>
  <c r="I6" i="2" s="1"/>
  <c r="K14" i="2"/>
  <c r="J14" i="2"/>
  <c r="I14" i="2"/>
  <c r="H14" i="2"/>
  <c r="G14" i="2"/>
  <c r="K12" i="2"/>
  <c r="I12" i="2"/>
  <c r="G12" i="2"/>
  <c r="K11" i="2"/>
  <c r="J11" i="2"/>
  <c r="I11" i="2"/>
  <c r="H11" i="2"/>
  <c r="G11" i="2"/>
  <c r="F11" i="2"/>
  <c r="K10" i="2"/>
  <c r="J10" i="2"/>
  <c r="I10" i="2"/>
  <c r="H10" i="2"/>
  <c r="G10" i="2"/>
  <c r="K9" i="2"/>
  <c r="J9" i="2"/>
  <c r="I9" i="2"/>
  <c r="H9" i="2"/>
  <c r="G9" i="2"/>
  <c r="K8" i="2"/>
  <c r="I8" i="2"/>
  <c r="K7" i="2"/>
  <c r="I7" i="2"/>
  <c r="C7" i="2"/>
  <c r="C6" i="2"/>
  <c r="C5" i="2"/>
  <c r="C4" i="2"/>
  <c r="C3" i="2"/>
  <c r="D92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58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26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H9" i="15"/>
  <c r="D9" i="15"/>
  <c r="D8" i="15"/>
  <c r="D7" i="15"/>
  <c r="D6" i="15"/>
  <c r="D5" i="15"/>
  <c r="D4" i="15"/>
  <c r="D3" i="15"/>
  <c r="D8" i="4"/>
  <c r="D5" i="4"/>
  <c r="F22" i="20" l="1"/>
  <c r="F15" i="4"/>
  <c r="D15" i="4"/>
  <c r="C23" i="6"/>
  <c r="C7" i="6"/>
  <c r="J27" i="19"/>
  <c r="K27" i="19" s="1"/>
  <c r="F27" i="2"/>
  <c r="J27" i="20"/>
  <c r="K27" i="20" s="1"/>
  <c r="H27" i="19"/>
  <c r="I27" i="19" s="1"/>
  <c r="C21" i="2"/>
  <c r="H27" i="2" s="1"/>
  <c r="I27" i="2" s="1"/>
  <c r="H27" i="20"/>
  <c r="I27" i="20" s="1"/>
  <c r="C15" i="6"/>
  <c r="F7" i="2"/>
  <c r="E6" i="4" s="1"/>
  <c r="E16" i="4" s="1"/>
  <c r="E17" i="4" s="1"/>
  <c r="F6" i="19"/>
  <c r="G6" i="19" s="1"/>
  <c r="H6" i="19"/>
  <c r="I6" i="19" s="1"/>
  <c r="F6" i="2"/>
  <c r="G6" i="2" s="1"/>
  <c r="J6" i="2"/>
  <c r="K6" i="2" s="1"/>
  <c r="H6" i="20"/>
  <c r="I6" i="20" s="1"/>
  <c r="F6" i="20"/>
  <c r="G6" i="20" s="1"/>
  <c r="C9" i="20"/>
  <c r="H22" i="19"/>
  <c r="J22" i="19" s="1"/>
  <c r="F20" i="19"/>
  <c r="G20" i="19" s="1"/>
  <c r="C8" i="2"/>
  <c r="C9" i="2" s="1"/>
  <c r="C8" i="19"/>
  <c r="C9" i="19" s="1"/>
  <c r="F7" i="19"/>
  <c r="F27" i="19"/>
  <c r="F28" i="19" s="1"/>
  <c r="N9" i="20"/>
  <c r="F7" i="20"/>
  <c r="G6" i="4" s="1"/>
  <c r="F27" i="20"/>
  <c r="N9" i="19"/>
  <c r="F20" i="20" l="1"/>
  <c r="G20" i="20" s="1"/>
  <c r="G22" i="20"/>
  <c r="N5" i="20" s="1"/>
  <c r="H22" i="20"/>
  <c r="G8" i="2"/>
  <c r="N15" i="19"/>
  <c r="G8" i="19"/>
  <c r="N15" i="20"/>
  <c r="G8" i="20"/>
  <c r="N15" i="2"/>
  <c r="H6" i="4"/>
  <c r="G16" i="4"/>
  <c r="G17" i="4" s="1"/>
  <c r="N9" i="2"/>
  <c r="G7" i="2"/>
  <c r="G7" i="19"/>
  <c r="C6" i="4"/>
  <c r="C16" i="4" s="1"/>
  <c r="C17" i="4" s="1"/>
  <c r="G27" i="2"/>
  <c r="J28" i="19"/>
  <c r="F6" i="4"/>
  <c r="H28" i="19"/>
  <c r="K22" i="19"/>
  <c r="K28" i="19" s="1"/>
  <c r="J20" i="19"/>
  <c r="K20" i="19" s="1"/>
  <c r="I22" i="19"/>
  <c r="I28" i="19" s="1"/>
  <c r="H20" i="19"/>
  <c r="I20" i="19" s="1"/>
  <c r="G27" i="19"/>
  <c r="G28" i="19" s="1"/>
  <c r="G27" i="20"/>
  <c r="F28" i="20"/>
  <c r="G7" i="20"/>
  <c r="G28" i="20" l="1"/>
  <c r="J22" i="20"/>
  <c r="H20" i="20"/>
  <c r="I20" i="20" s="1"/>
  <c r="I22" i="20"/>
  <c r="I28" i="20" s="1"/>
  <c r="H28" i="20"/>
  <c r="D6" i="4"/>
  <c r="N10" i="19"/>
  <c r="F5" i="19"/>
  <c r="F18" i="19" s="1"/>
  <c r="G18" i="19" s="1"/>
  <c r="F5" i="20"/>
  <c r="F23" i="20" s="1"/>
  <c r="F24" i="20" s="1"/>
  <c r="F5" i="2"/>
  <c r="D4" i="4"/>
  <c r="K22" i="20" l="1"/>
  <c r="K28" i="20" s="1"/>
  <c r="N10" i="20" s="1"/>
  <c r="J20" i="20"/>
  <c r="K20" i="20" s="1"/>
  <c r="J28" i="20"/>
  <c r="F13" i="19"/>
  <c r="G13" i="19" s="1"/>
  <c r="H5" i="19"/>
  <c r="F23" i="19"/>
  <c r="F24" i="19" s="1"/>
  <c r="G5" i="19"/>
  <c r="G23" i="19" s="1"/>
  <c r="C28" i="19"/>
  <c r="J15" i="19" s="1"/>
  <c r="F13" i="20"/>
  <c r="G13" i="20" s="1"/>
  <c r="F18" i="20"/>
  <c r="G18" i="20" s="1"/>
  <c r="C28" i="2"/>
  <c r="J15" i="2" s="1"/>
  <c r="F18" i="2"/>
  <c r="G18" i="2" s="1"/>
  <c r="G5" i="2"/>
  <c r="N7" i="2" s="1"/>
  <c r="C28" i="20"/>
  <c r="J15" i="20" s="1"/>
  <c r="G5" i="20"/>
  <c r="G23" i="20" s="1"/>
  <c r="H5" i="20"/>
  <c r="H13" i="20" s="1"/>
  <c r="I13" i="20" s="1"/>
  <c r="H5" i="2"/>
  <c r="H18" i="2" s="1"/>
  <c r="I18" i="2" s="1"/>
  <c r="F13" i="2"/>
  <c r="G13" i="2" s="1"/>
  <c r="J5" i="19" l="1"/>
  <c r="H13" i="19"/>
  <c r="I13" i="19" s="1"/>
  <c r="H18" i="19"/>
  <c r="I18" i="19" s="1"/>
  <c r="H23" i="19"/>
  <c r="H24" i="19" s="1"/>
  <c r="I5" i="19"/>
  <c r="I23" i="19" s="1"/>
  <c r="I24" i="19" s="1"/>
  <c r="N7" i="19"/>
  <c r="N6" i="19" s="1"/>
  <c r="H23" i="20"/>
  <c r="H24" i="20" s="1"/>
  <c r="F15" i="19"/>
  <c r="H15" i="19"/>
  <c r="I15" i="19" s="1"/>
  <c r="I16" i="19" s="1"/>
  <c r="I21" i="19" s="1"/>
  <c r="I25" i="19" s="1"/>
  <c r="F15" i="20"/>
  <c r="F16" i="20" s="1"/>
  <c r="F21" i="20" s="1"/>
  <c r="F25" i="20" s="1"/>
  <c r="H18" i="20"/>
  <c r="I18" i="20" s="1"/>
  <c r="I5" i="20"/>
  <c r="I23" i="20" s="1"/>
  <c r="I24" i="20" s="1"/>
  <c r="J5" i="20"/>
  <c r="J23" i="20" s="1"/>
  <c r="J24" i="20" s="1"/>
  <c r="F15" i="2"/>
  <c r="G15" i="2" s="1"/>
  <c r="G16" i="2" s="1"/>
  <c r="H15" i="2"/>
  <c r="H16" i="2" s="1"/>
  <c r="N7" i="20"/>
  <c r="N6" i="20" s="1"/>
  <c r="H15" i="20"/>
  <c r="H16" i="20" s="1"/>
  <c r="H21" i="20" s="1"/>
  <c r="H25" i="20" s="1"/>
  <c r="J5" i="2"/>
  <c r="I5" i="2"/>
  <c r="H13" i="2"/>
  <c r="I13" i="2" s="1"/>
  <c r="G24" i="20"/>
  <c r="G24" i="19"/>
  <c r="K15" i="19"/>
  <c r="K16" i="19" s="1"/>
  <c r="J16" i="19"/>
  <c r="J16" i="20"/>
  <c r="K15" i="20"/>
  <c r="K16" i="20" s="1"/>
  <c r="K15" i="2"/>
  <c r="K16" i="2" s="1"/>
  <c r="J16" i="2"/>
  <c r="K5" i="19"/>
  <c r="J18" i="19"/>
  <c r="K18" i="19" s="1"/>
  <c r="J23" i="19"/>
  <c r="J24" i="19" s="1"/>
  <c r="J13" i="19"/>
  <c r="K13" i="19" s="1"/>
  <c r="G15" i="19" l="1"/>
  <c r="G16" i="19" s="1"/>
  <c r="G21" i="19" s="1"/>
  <c r="G25" i="19" s="1"/>
  <c r="F16" i="19"/>
  <c r="F21" i="19" s="1"/>
  <c r="F25" i="19" s="1"/>
  <c r="K5" i="2"/>
  <c r="J13" i="2"/>
  <c r="K13" i="2" s="1"/>
  <c r="J13" i="20"/>
  <c r="K13" i="20" s="1"/>
  <c r="H16" i="19"/>
  <c r="H21" i="19" s="1"/>
  <c r="H25" i="19" s="1"/>
  <c r="J18" i="20"/>
  <c r="K18" i="20" s="1"/>
  <c r="K5" i="20"/>
  <c r="K23" i="20" s="1"/>
  <c r="K24" i="20" s="1"/>
  <c r="F16" i="2"/>
  <c r="G15" i="20"/>
  <c r="G16" i="20" s="1"/>
  <c r="G21" i="20" s="1"/>
  <c r="G25" i="20" s="1"/>
  <c r="G26" i="20" s="1"/>
  <c r="J18" i="2"/>
  <c r="K18" i="2" s="1"/>
  <c r="I15" i="2"/>
  <c r="I16" i="2" s="1"/>
  <c r="I15" i="20"/>
  <c r="I16" i="20" s="1"/>
  <c r="I21" i="20" s="1"/>
  <c r="I25" i="20" s="1"/>
  <c r="I29" i="20" s="1"/>
  <c r="I29" i="19"/>
  <c r="I26" i="19"/>
  <c r="J21" i="19"/>
  <c r="J25" i="19" s="1"/>
  <c r="K21" i="19"/>
  <c r="K25" i="19" s="1"/>
  <c r="K23" i="19"/>
  <c r="K24" i="19" s="1"/>
  <c r="F26" i="20"/>
  <c r="F29" i="20"/>
  <c r="H29" i="20"/>
  <c r="H26" i="20"/>
  <c r="G29" i="19" l="1"/>
  <c r="G26" i="19"/>
  <c r="F29" i="19"/>
  <c r="F26" i="19"/>
  <c r="H29" i="19"/>
  <c r="H26" i="19"/>
  <c r="G29" i="20"/>
  <c r="J21" i="20"/>
  <c r="J25" i="20" s="1"/>
  <c r="K21" i="20"/>
  <c r="K25" i="20" s="1"/>
  <c r="I26" i="20"/>
  <c r="N11" i="19"/>
  <c r="N12" i="19" s="1"/>
  <c r="J29" i="19"/>
  <c r="J26" i="19"/>
  <c r="K29" i="19"/>
  <c r="K26" i="19"/>
  <c r="N11" i="20"/>
  <c r="N12" i="20" s="1"/>
  <c r="J29" i="20"/>
  <c r="J26" i="20"/>
  <c r="N13" i="19" l="1"/>
  <c r="K26" i="20"/>
  <c r="K29" i="20"/>
  <c r="N13" i="20" s="1"/>
  <c r="N16" i="19" l="1"/>
  <c r="N14" i="19"/>
  <c r="N14" i="20"/>
  <c r="N16" i="20"/>
  <c r="F20" i="2"/>
  <c r="F21" i="2"/>
  <c r="F25" i="2" s="1"/>
  <c r="G20" i="2"/>
  <c r="G21" i="2" s="1"/>
  <c r="H22" i="2"/>
  <c r="H23" i="2" s="1"/>
  <c r="H24" i="2" s="1"/>
  <c r="G22" i="2"/>
  <c r="G23" i="2" s="1"/>
  <c r="G24" i="2" s="1"/>
  <c r="F28" i="2"/>
  <c r="H20" i="2"/>
  <c r="F23" i="2"/>
  <c r="F24" i="2"/>
  <c r="F26" i="2" l="1"/>
  <c r="F29" i="2"/>
  <c r="G25" i="2"/>
  <c r="J22" i="2"/>
  <c r="I22" i="2"/>
  <c r="H28" i="2"/>
  <c r="N5" i="2"/>
  <c r="N6" i="2" s="1"/>
  <c r="G28" i="2"/>
  <c r="I20" i="2"/>
  <c r="I21" i="2" s="1"/>
  <c r="H21" i="2"/>
  <c r="H25" i="2" s="1"/>
  <c r="G26" i="2"/>
  <c r="G29" i="2"/>
  <c r="K22" i="2" l="1"/>
  <c r="J23" i="2"/>
  <c r="J24" i="2" s="1"/>
  <c r="J28" i="2"/>
  <c r="J20" i="2"/>
  <c r="I25" i="2"/>
  <c r="I23" i="2"/>
  <c r="I28" i="2"/>
  <c r="H29" i="2"/>
  <c r="H26" i="2"/>
  <c r="K23" i="2" l="1"/>
  <c r="K28" i="2"/>
  <c r="N10" i="2" s="1"/>
  <c r="J21" i="2"/>
  <c r="J25" i="2" s="1"/>
  <c r="K20" i="2"/>
  <c r="K21" i="2" s="1"/>
  <c r="K25" i="2" s="1"/>
  <c r="I29" i="2"/>
  <c r="I26" i="2"/>
  <c r="I24" i="2"/>
  <c r="K26" i="2" l="1"/>
  <c r="K29" i="2"/>
  <c r="N13" i="2" s="1"/>
  <c r="J29" i="2"/>
  <c r="J26" i="2"/>
  <c r="K24" i="2"/>
  <c r="N11" i="2"/>
  <c r="N12" i="2" s="1"/>
  <c r="N16" i="2" l="1"/>
  <c r="N14" i="2"/>
</calcChain>
</file>

<file path=xl/sharedStrings.xml><?xml version="1.0" encoding="utf-8"?>
<sst xmlns="http://schemas.openxmlformats.org/spreadsheetml/2006/main" count="605" uniqueCount="259">
  <si>
    <t>备注</t>
  </si>
  <si>
    <t>品号</t>
  </si>
  <si>
    <t>NPI Program Items</t>
  </si>
  <si>
    <t>项目名称</t>
  </si>
  <si>
    <t>品牌名称</t>
  </si>
  <si>
    <t>RD-001</t>
  </si>
  <si>
    <t>样品费用</t>
  </si>
  <si>
    <t>Xiaomi</t>
  </si>
  <si>
    <t>模具</t>
  </si>
  <si>
    <t>RD-002</t>
  </si>
  <si>
    <t>测试费用</t>
  </si>
  <si>
    <t>治具</t>
  </si>
  <si>
    <t>RD-003</t>
  </si>
  <si>
    <t>NPI试产样机费用</t>
  </si>
  <si>
    <t>研发NRE</t>
  </si>
  <si>
    <t>RD-004</t>
  </si>
  <si>
    <t>NPI试产服务费用</t>
  </si>
  <si>
    <t>测试+其它</t>
  </si>
  <si>
    <t>RD-005</t>
  </si>
  <si>
    <t>试验模具治具</t>
  </si>
  <si>
    <t>认证</t>
  </si>
  <si>
    <t>RD-006</t>
  </si>
  <si>
    <t>技术服务（委托研发）</t>
  </si>
  <si>
    <t>人力</t>
  </si>
  <si>
    <t>RD-007</t>
  </si>
  <si>
    <t>软件（研发）</t>
  </si>
  <si>
    <t>汇总</t>
  </si>
  <si>
    <t>RD-008</t>
  </si>
  <si>
    <t>咨询服务</t>
  </si>
  <si>
    <t>RD-009</t>
  </si>
  <si>
    <t>人力资源服务</t>
  </si>
  <si>
    <t>RD-011</t>
  </si>
  <si>
    <t>研发测试用耗材</t>
  </si>
  <si>
    <t>ZC-1202</t>
  </si>
  <si>
    <t>生产模具</t>
  </si>
  <si>
    <t>生产治具</t>
  </si>
  <si>
    <t>ZC-1299</t>
  </si>
  <si>
    <t>其他生产设备</t>
  </si>
  <si>
    <t>ZC-1301</t>
  </si>
  <si>
    <t>办公计算机设备</t>
  </si>
  <si>
    <t>ZC-1302</t>
  </si>
  <si>
    <t>办公测试设备</t>
  </si>
  <si>
    <t>ZC-2201</t>
  </si>
  <si>
    <t>研发工具</t>
  </si>
  <si>
    <t>Travel-P</t>
  </si>
  <si>
    <t>项目差旅费用</t>
  </si>
  <si>
    <t>Logistics-P</t>
  </si>
  <si>
    <t>物流费用</t>
  </si>
  <si>
    <t>RCOW-P</t>
  </si>
  <si>
    <t>项目人力费用</t>
  </si>
  <si>
    <t>TB-P</t>
  </si>
  <si>
    <t>项目组团建费用</t>
  </si>
  <si>
    <t>Monthly Total</t>
  </si>
  <si>
    <t>Investment Total</t>
  </si>
  <si>
    <t>Ricotta-P 国内</t>
  </si>
  <si>
    <t>Ricotta-P 海外</t>
  </si>
  <si>
    <t>描述</t>
  </si>
  <si>
    <t>第一年</t>
  </si>
  <si>
    <t>第二年</t>
  </si>
  <si>
    <t>第三年</t>
  </si>
  <si>
    <t>合计</t>
  </si>
  <si>
    <t>含税(RMB)</t>
  </si>
  <si>
    <t>不含税(RMB)</t>
  </si>
  <si>
    <t>出厂价</t>
  </si>
  <si>
    <t>模具工装治具摊销</t>
  </si>
  <si>
    <t>线上渠道比例</t>
  </si>
  <si>
    <t>线上渠道折扣</t>
  </si>
  <si>
    <t>线下渠道比例</t>
  </si>
  <si>
    <t>线下渠道折扣</t>
  </si>
  <si>
    <t>AiKen Normal Scenario</t>
  </si>
  <si>
    <t>YEAR 1</t>
  </si>
  <si>
    <t>YEAR 2</t>
  </si>
  <si>
    <t>YEAR 3</t>
  </si>
  <si>
    <t>含税</t>
  </si>
  <si>
    <t>不含税</t>
  </si>
  <si>
    <t>主机（不含税）</t>
  </si>
  <si>
    <t>研发NRE (含CCOW)</t>
  </si>
  <si>
    <t>MPC（出厂价）</t>
  </si>
  <si>
    <t>Hannto零售价</t>
  </si>
  <si>
    <t>测试</t>
  </si>
  <si>
    <t>Royalty, License, Usage/unit</t>
  </si>
  <si>
    <t>Hannto毛利率</t>
  </si>
  <si>
    <t>模具治具摊销/unit</t>
  </si>
  <si>
    <t>MPC</t>
  </si>
  <si>
    <t>其他</t>
  </si>
  <si>
    <t>研发费用摊销/unit</t>
  </si>
  <si>
    <t>CPU</t>
  </si>
  <si>
    <t>研发费用汇总</t>
  </si>
  <si>
    <t>物流（工厂到仓库）/unit</t>
  </si>
  <si>
    <t>Volumn （3years)</t>
  </si>
  <si>
    <t>物流（仓库到用户）/unit</t>
  </si>
  <si>
    <t>Revenue</t>
  </si>
  <si>
    <t>Royalty（Airprint)</t>
  </si>
  <si>
    <t>Logistics Cost</t>
  </si>
  <si>
    <t>GM</t>
  </si>
  <si>
    <t>Royalty（GGS)</t>
  </si>
  <si>
    <t>汉图MOH比例</t>
  </si>
  <si>
    <t>GM%</t>
  </si>
  <si>
    <t>Royalty（Adobe)</t>
  </si>
  <si>
    <t>汉图MOH</t>
  </si>
  <si>
    <t>Profit</t>
  </si>
  <si>
    <t>Royalty（WPS)</t>
  </si>
  <si>
    <t>返修率</t>
  </si>
  <si>
    <t>Profit %</t>
  </si>
  <si>
    <t>Royalty (Others)</t>
  </si>
  <si>
    <t>返修费用</t>
  </si>
  <si>
    <t>Investment</t>
  </si>
  <si>
    <t>Royalty (Total)</t>
  </si>
  <si>
    <t>Service Cost</t>
  </si>
  <si>
    <t>ROI</t>
  </si>
  <si>
    <t>OS</t>
  </si>
  <si>
    <t>资金成本率</t>
  </si>
  <si>
    <t>资金成本</t>
  </si>
  <si>
    <t>生态链单机</t>
  </si>
  <si>
    <t>销售费用%</t>
  </si>
  <si>
    <t>第一年销量（国内）</t>
  </si>
  <si>
    <t>销售费用/unit</t>
  </si>
  <si>
    <t>第二年销量（国内）</t>
  </si>
  <si>
    <t>Total COS</t>
  </si>
  <si>
    <t>第三年销量（国内）</t>
  </si>
  <si>
    <t>毛利/unit（含税）</t>
  </si>
  <si>
    <t>第一年销量（海外）</t>
  </si>
  <si>
    <t>毛利率</t>
  </si>
  <si>
    <t>第二年销量（海外）</t>
  </si>
  <si>
    <t>净利/unit（含税）</t>
  </si>
  <si>
    <t>第三年销量（海外）</t>
  </si>
  <si>
    <t>净利率</t>
  </si>
  <si>
    <t>Volumn</t>
  </si>
  <si>
    <t>返修成本HW（含税）</t>
  </si>
  <si>
    <t>总收入</t>
  </si>
  <si>
    <t>总净利</t>
  </si>
  <si>
    <t xml:space="preserve"> </t>
  </si>
  <si>
    <t>AiKen Best Scenario</t>
  </si>
  <si>
    <t>AiKen Worst Scenario</t>
  </si>
  <si>
    <t>年销</t>
    <phoneticPr fontId="33" type="noConversion"/>
  </si>
  <si>
    <t>月销</t>
    <phoneticPr fontId="33" type="noConversion"/>
  </si>
  <si>
    <t>Best</t>
    <phoneticPr fontId="33" type="noConversion"/>
  </si>
  <si>
    <t>Worst</t>
    <phoneticPr fontId="33" type="noConversion"/>
  </si>
  <si>
    <t>Normal</t>
    <phoneticPr fontId="33" type="noConversion"/>
  </si>
  <si>
    <t>国内运费</t>
    <phoneticPr fontId="33" type="noConversion"/>
  </si>
  <si>
    <t>零售价</t>
    <phoneticPr fontId="33" type="noConversion"/>
  </si>
  <si>
    <t>扣除渠道后ASP</t>
    <phoneticPr fontId="33" type="noConversion"/>
  </si>
  <si>
    <t>毛利</t>
    <phoneticPr fontId="33" type="noConversion"/>
  </si>
  <si>
    <t>毛利率</t>
    <phoneticPr fontId="33" type="noConversion"/>
  </si>
  <si>
    <t>收入</t>
    <phoneticPr fontId="33" type="noConversion"/>
  </si>
  <si>
    <t>117.6 元</t>
  </si>
  <si>
    <t>86.6 元</t>
  </si>
  <si>
    <t>1,194 / 1,647 台/月</t>
  </si>
  <si>
    <t>188.8 元</t>
  </si>
  <si>
    <t>151.6 元</t>
  </si>
  <si>
    <t>746 / 940 台/月</t>
  </si>
  <si>
    <t>224.4 元</t>
  </si>
  <si>
    <t>184.0 元</t>
  </si>
  <si>
    <t>628 / 774 台/月</t>
  </si>
  <si>
    <r>
      <rPr>
        <b/>
        <sz val="11"/>
        <color theme="1"/>
        <rFont val="等线"/>
        <family val="3"/>
        <charset val="134"/>
      </rPr>
      <t>零售价</t>
    </r>
    <phoneticPr fontId="33" type="noConversion"/>
  </si>
  <si>
    <r>
      <rPr>
        <b/>
        <sz val="11"/>
        <color theme="1"/>
        <rFont val="等线"/>
        <family val="3"/>
        <charset val="134"/>
      </rPr>
      <t>渠道</t>
    </r>
    <r>
      <rPr>
        <b/>
        <sz val="11"/>
        <color theme="1"/>
        <rFont val="Segoe UI"/>
        <family val="2"/>
      </rPr>
      <t>ASP</t>
    </r>
    <phoneticPr fontId="33" type="noConversion"/>
  </si>
  <si>
    <r>
      <rPr>
        <b/>
        <sz val="11"/>
        <color theme="1"/>
        <rFont val="等线"/>
        <family val="3"/>
        <charset val="134"/>
      </rPr>
      <t>单台净利</t>
    </r>
    <phoneticPr fontId="33" type="noConversion"/>
  </si>
  <si>
    <r>
      <rPr>
        <b/>
        <sz val="11"/>
        <color theme="1"/>
        <rFont val="等线"/>
        <family val="3"/>
        <charset val="134"/>
      </rPr>
      <t>压力口径（佣金</t>
    </r>
    <r>
      <rPr>
        <b/>
        <sz val="11"/>
        <color theme="1"/>
        <rFont val="Segoe UI"/>
        <family val="2"/>
      </rPr>
      <t>+</t>
    </r>
    <r>
      <rPr>
        <b/>
        <sz val="11"/>
        <color theme="1"/>
        <rFont val="等线"/>
        <family val="3"/>
        <charset val="134"/>
      </rPr>
      <t>营销）</t>
    </r>
    <phoneticPr fontId="33" type="noConversion"/>
  </si>
  <si>
    <r>
      <rPr>
        <b/>
        <sz val="11"/>
        <color theme="1"/>
        <rFont val="等线"/>
        <family val="3"/>
        <charset val="134"/>
      </rPr>
      <t>回本所需月销（模型</t>
    </r>
    <r>
      <rPr>
        <b/>
        <sz val="11"/>
        <color theme="1"/>
        <rFont val="Segoe UI"/>
        <family val="2"/>
      </rPr>
      <t>/</t>
    </r>
    <r>
      <rPr>
        <b/>
        <sz val="11"/>
        <color theme="1"/>
        <rFont val="等线"/>
        <family val="3"/>
        <charset val="134"/>
      </rPr>
      <t>压力）</t>
    </r>
    <phoneticPr fontId="33" type="noConversion"/>
  </si>
  <si>
    <r>
      <rPr>
        <b/>
        <sz val="11"/>
        <color theme="1"/>
        <rFont val="等线"/>
        <family val="3"/>
        <charset val="134"/>
      </rPr>
      <t>竞争锚点清晰：</t>
    </r>
    <r>
      <rPr>
        <sz val="11"/>
        <color theme="1"/>
        <rFont val="Segoe UI"/>
        <family val="2"/>
      </rPr>
      <t xml:space="preserve">Flashback V2 </t>
    </r>
    <r>
      <rPr>
        <sz val="11"/>
        <color theme="1"/>
        <rFont val="等线"/>
        <family val="3"/>
        <charset val="134"/>
      </rPr>
      <t>卖</t>
    </r>
    <r>
      <rPr>
        <sz val="11"/>
        <color theme="1"/>
        <rFont val="Segoe UI"/>
        <family val="2"/>
      </rPr>
      <t xml:space="preserve"> 749-799</t>
    </r>
    <r>
      <rPr>
        <sz val="11"/>
        <color theme="1"/>
        <rFont val="等线"/>
        <family val="3"/>
        <charset val="134"/>
      </rPr>
      <t>，</t>
    </r>
    <r>
      <rPr>
        <sz val="11"/>
        <color theme="1"/>
        <rFont val="Segoe UI"/>
        <family val="2"/>
      </rPr>
      <t xml:space="preserve">instax mini12 </t>
    </r>
    <r>
      <rPr>
        <sz val="11"/>
        <color theme="1"/>
        <rFont val="等线"/>
        <family val="3"/>
        <charset val="134"/>
      </rPr>
      <t>约</t>
    </r>
    <r>
      <rPr>
        <sz val="11"/>
        <color theme="1"/>
        <rFont val="Segoe UI"/>
        <family val="2"/>
      </rPr>
      <t xml:space="preserve"> 600</t>
    </r>
    <r>
      <rPr>
        <sz val="11"/>
        <color theme="1"/>
        <rFont val="等线"/>
        <family val="3"/>
        <charset val="134"/>
      </rPr>
      <t>，</t>
    </r>
    <r>
      <rPr>
        <sz val="11"/>
        <color theme="1"/>
        <rFont val="Segoe UI"/>
        <family val="2"/>
      </rPr>
      <t>Pal 629</t>
    </r>
    <r>
      <rPr>
        <sz val="11"/>
        <color theme="1"/>
        <rFont val="等线"/>
        <family val="3"/>
        <charset val="134"/>
      </rPr>
      <t>。</t>
    </r>
    <r>
      <rPr>
        <sz val="11"/>
        <color theme="1"/>
        <rFont val="Segoe UI"/>
        <family val="2"/>
      </rPr>
      <t xml:space="preserve">599 </t>
    </r>
    <r>
      <rPr>
        <sz val="11"/>
        <color theme="1"/>
        <rFont val="等线"/>
        <family val="3"/>
        <charset val="134"/>
      </rPr>
      <t>正好卡在</t>
    </r>
    <r>
      <rPr>
        <sz val="11"/>
        <color theme="1"/>
        <rFont val="Microsoft YaHei UI"/>
        <family val="2"/>
        <charset val="134"/>
      </rPr>
      <t>“</t>
    </r>
    <r>
      <rPr>
        <sz val="11"/>
        <color theme="1"/>
        <rFont val="等线"/>
        <family val="3"/>
        <charset val="134"/>
      </rPr>
      <t>拍立得主力价位带</t>
    </r>
    <r>
      <rPr>
        <sz val="11"/>
        <color theme="1"/>
        <rFont val="Microsoft YaHei UI"/>
        <family val="2"/>
        <charset val="134"/>
      </rPr>
      <t>”</t>
    </r>
    <r>
      <rPr>
        <sz val="11"/>
        <color theme="1"/>
        <rFont val="等线"/>
        <family val="3"/>
        <charset val="134"/>
      </rPr>
      <t>，比直接竞品便宜</t>
    </r>
    <r>
      <rPr>
        <sz val="11"/>
        <color theme="1"/>
        <rFont val="Segoe UI"/>
        <family val="2"/>
      </rPr>
      <t xml:space="preserve"> 150-200</t>
    </r>
    <r>
      <rPr>
        <sz val="11"/>
        <color theme="1"/>
        <rFont val="等线"/>
        <family val="3"/>
        <charset val="134"/>
      </rPr>
      <t>，故事完整：</t>
    </r>
    <r>
      <rPr>
        <sz val="11"/>
        <color theme="1"/>
        <rFont val="Microsoft YaHei UI"/>
        <family val="2"/>
        <charset val="134"/>
      </rPr>
      <t>“</t>
    </r>
    <r>
      <rPr>
        <sz val="11"/>
        <color theme="1"/>
        <rFont val="等线"/>
        <family val="3"/>
        <charset val="134"/>
      </rPr>
      <t>比</t>
    </r>
    <r>
      <rPr>
        <sz val="11"/>
        <color theme="1"/>
        <rFont val="Segoe UI"/>
        <family val="2"/>
      </rPr>
      <t xml:space="preserve"> Flashback </t>
    </r>
    <r>
      <rPr>
        <sz val="11"/>
        <color theme="1"/>
        <rFont val="等线"/>
        <family val="3"/>
        <charset val="134"/>
      </rPr>
      <t>便宜</t>
    </r>
    <r>
      <rPr>
        <sz val="11"/>
        <color theme="1"/>
        <rFont val="Segoe UI"/>
        <family val="2"/>
      </rPr>
      <t xml:space="preserve"> 200</t>
    </r>
    <r>
      <rPr>
        <sz val="11"/>
        <color theme="1"/>
        <rFont val="等线"/>
        <family val="3"/>
        <charset val="134"/>
      </rPr>
      <t>，传输快</t>
    </r>
    <r>
      <rPr>
        <sz val="11"/>
        <color theme="1"/>
        <rFont val="Segoe UI"/>
        <family val="2"/>
      </rPr>
      <t xml:space="preserve"> 3 </t>
    </r>
    <r>
      <rPr>
        <sz val="11"/>
        <color theme="1"/>
        <rFont val="等线"/>
        <family val="3"/>
        <charset val="134"/>
      </rPr>
      <t>倍，风格更多，玩法更丰富。</t>
    </r>
    <r>
      <rPr>
        <sz val="11"/>
        <color theme="1"/>
        <rFont val="Microsoft YaHei UI"/>
        <family val="2"/>
        <charset val="134"/>
      </rPr>
      <t>”</t>
    </r>
    <phoneticPr fontId="33" type="noConversion"/>
  </si>
  <si>
    <r>
      <rPr>
        <b/>
        <sz val="11"/>
        <color theme="1"/>
        <rFont val="Segoe UI"/>
        <family val="2"/>
      </rPr>
      <t xml:space="preserve">499 </t>
    </r>
    <r>
      <rPr>
        <b/>
        <sz val="11"/>
        <color theme="1"/>
        <rFont val="等线"/>
        <family val="3"/>
        <charset val="134"/>
      </rPr>
      <t>在数学上锁死了项目：</t>
    </r>
    <r>
      <rPr>
        <sz val="11"/>
        <color theme="1"/>
        <rFont val="等线"/>
        <family val="3"/>
        <charset val="134"/>
      </rPr>
      <t>单台净利</t>
    </r>
    <r>
      <rPr>
        <sz val="11"/>
        <color theme="1"/>
        <rFont val="Segoe UI"/>
        <family val="2"/>
      </rPr>
      <t xml:space="preserve"> 118 </t>
    </r>
    <r>
      <rPr>
        <sz val="11"/>
        <color theme="1"/>
        <rFont val="等线"/>
        <family val="3"/>
        <charset val="134"/>
      </rPr>
      <t>元，回本需要</t>
    </r>
    <r>
      <rPr>
        <sz val="11"/>
        <color theme="1"/>
        <rFont val="Segoe UI"/>
        <family val="2"/>
      </rPr>
      <t xml:space="preserve"> 3 </t>
    </r>
    <r>
      <rPr>
        <sz val="11"/>
        <color theme="1"/>
        <rFont val="等线"/>
        <family val="3"/>
        <charset val="134"/>
      </rPr>
      <t>年均匀月销</t>
    </r>
    <r>
      <rPr>
        <sz val="11"/>
        <color theme="1"/>
        <rFont val="Segoe UI"/>
        <family val="2"/>
      </rPr>
      <t xml:space="preserve"> 1,194 </t>
    </r>
    <r>
      <rPr>
        <sz val="11"/>
        <color theme="1"/>
        <rFont val="等线"/>
        <family val="3"/>
        <charset val="134"/>
      </rPr>
      <t>台。即使在</t>
    </r>
    <r>
      <rPr>
        <sz val="11"/>
        <color theme="1"/>
        <rFont val="Segoe UI"/>
        <family val="2"/>
      </rPr>
      <t xml:space="preserve"> Best </t>
    </r>
    <r>
      <rPr>
        <sz val="11"/>
        <color theme="1"/>
        <rFont val="等线"/>
        <family val="3"/>
        <charset val="134"/>
      </rPr>
      <t>销量（</t>
    </r>
    <r>
      <rPr>
        <sz val="11"/>
        <color theme="1"/>
        <rFont val="Segoe UI"/>
        <family val="2"/>
      </rPr>
      <t xml:space="preserve">51,600 </t>
    </r>
    <r>
      <rPr>
        <sz val="11"/>
        <color theme="1"/>
        <rFont val="等线"/>
        <family val="3"/>
        <charset val="134"/>
      </rPr>
      <t>台）下</t>
    </r>
    <r>
      <rPr>
        <sz val="11"/>
        <color theme="1"/>
        <rFont val="Segoe UI"/>
        <family val="2"/>
      </rPr>
      <t xml:space="preserve"> 499 </t>
    </r>
    <r>
      <rPr>
        <sz val="11"/>
        <color theme="1"/>
        <rFont val="等线"/>
        <family val="3"/>
        <charset val="134"/>
      </rPr>
      <t>也只有</t>
    </r>
    <r>
      <rPr>
        <sz val="11"/>
        <color theme="1"/>
        <rFont val="Segoe UI"/>
        <family val="2"/>
      </rPr>
      <t xml:space="preserve"> +99 </t>
    </r>
    <r>
      <rPr>
        <sz val="11"/>
        <color theme="1"/>
        <rFont val="等线"/>
        <family val="3"/>
        <charset val="134"/>
      </rPr>
      <t>万（压力口径</t>
    </r>
    <r>
      <rPr>
        <sz val="11"/>
        <color theme="1"/>
        <rFont val="Segoe UI"/>
        <family val="2"/>
      </rPr>
      <t xml:space="preserve"> -64 </t>
    </r>
    <r>
      <rPr>
        <sz val="11"/>
        <color theme="1"/>
        <rFont val="等线"/>
        <family val="3"/>
        <charset val="134"/>
      </rPr>
      <t>万）。降到</t>
    </r>
    <r>
      <rPr>
        <sz val="11"/>
        <color theme="1"/>
        <rFont val="Segoe UI"/>
        <family val="2"/>
      </rPr>
      <t xml:space="preserve"> 499 </t>
    </r>
    <r>
      <rPr>
        <sz val="11"/>
        <color theme="1"/>
        <rFont val="等线"/>
        <family val="3"/>
        <charset val="134"/>
      </rPr>
      <t>换不来足够的销量弹性来弥补单台利润损失</t>
    </r>
    <r>
      <rPr>
        <sz val="11"/>
        <color theme="1"/>
        <rFont val="Microsoft YaHei UI"/>
        <family val="2"/>
        <charset val="134"/>
      </rPr>
      <t xml:space="preserve"> —— </t>
    </r>
    <r>
      <rPr>
        <sz val="11"/>
        <color theme="1"/>
        <rFont val="等线"/>
        <family val="3"/>
        <charset val="134"/>
      </rPr>
      <t>这个品类的</t>
    </r>
    <r>
      <rPr>
        <b/>
        <sz val="11"/>
        <color rgb="FFC00000"/>
        <rFont val="等线"/>
        <family val="3"/>
        <charset val="134"/>
      </rPr>
      <t>购买决策是</t>
    </r>
    <r>
      <rPr>
        <b/>
        <sz val="11"/>
        <color rgb="FFC00000"/>
        <rFont val="Microsoft YaHei UI"/>
        <family val="2"/>
        <charset val="134"/>
      </rPr>
      <t>“</t>
    </r>
    <r>
      <rPr>
        <b/>
        <sz val="11"/>
        <color rgb="FFC00000"/>
        <rFont val="等线"/>
        <family val="3"/>
        <charset val="134"/>
      </rPr>
      <t>好不好玩</t>
    </r>
    <r>
      <rPr>
        <b/>
        <sz val="11"/>
        <color rgb="FFC00000"/>
        <rFont val="Segoe UI"/>
        <family val="2"/>
      </rPr>
      <t>/</t>
    </r>
    <r>
      <rPr>
        <b/>
        <sz val="11"/>
        <color rgb="FFC00000"/>
        <rFont val="等线"/>
        <family val="3"/>
        <charset val="134"/>
      </rPr>
      <t>出不出片</t>
    </r>
    <r>
      <rPr>
        <b/>
        <sz val="11"/>
        <color rgb="FFC00000"/>
        <rFont val="Microsoft YaHei UI"/>
        <family val="2"/>
        <charset val="134"/>
      </rPr>
      <t>”</t>
    </r>
    <r>
      <rPr>
        <b/>
        <sz val="11"/>
        <color rgb="FFC00000"/>
        <rFont val="等线"/>
        <family val="3"/>
        <charset val="134"/>
      </rPr>
      <t>，不是</t>
    </r>
    <r>
      <rPr>
        <b/>
        <sz val="11"/>
        <color rgb="FFC00000"/>
        <rFont val="Microsoft YaHei UI"/>
        <family val="2"/>
        <charset val="134"/>
      </rPr>
      <t>“</t>
    </r>
    <r>
      <rPr>
        <b/>
        <sz val="11"/>
        <color rgb="FFC00000"/>
        <rFont val="等线"/>
        <family val="3"/>
        <charset val="134"/>
      </rPr>
      <t>省</t>
    </r>
    <r>
      <rPr>
        <b/>
        <sz val="11"/>
        <color rgb="FFC00000"/>
        <rFont val="Segoe UI"/>
        <family val="2"/>
      </rPr>
      <t xml:space="preserve"> 100 </t>
    </r>
    <r>
      <rPr>
        <b/>
        <sz val="11"/>
        <color rgb="FFC00000"/>
        <rFont val="等线"/>
        <family val="3"/>
        <charset val="134"/>
      </rPr>
      <t>块</t>
    </r>
    <r>
      <rPr>
        <b/>
        <sz val="11"/>
        <color rgb="FFC00000"/>
        <rFont val="Microsoft YaHei UI"/>
        <family val="2"/>
        <charset val="134"/>
      </rPr>
      <t>”</t>
    </r>
    <r>
      <rPr>
        <sz val="11"/>
        <color theme="1"/>
        <rFont val="Microsoft YaHei UI"/>
        <family val="2"/>
        <charset val="134"/>
      </rPr>
      <t>。</t>
    </r>
    <phoneticPr fontId="33" type="noConversion"/>
  </si>
  <si>
    <r>
      <rPr>
        <b/>
        <sz val="11"/>
        <color theme="1"/>
        <rFont val="等线"/>
        <family val="3"/>
        <charset val="134"/>
      </rPr>
      <t>上探选项：</t>
    </r>
    <r>
      <rPr>
        <sz val="11"/>
        <color theme="1"/>
        <rFont val="等线"/>
        <family val="3"/>
        <charset val="134"/>
      </rPr>
      <t>首发期或</t>
    </r>
    <r>
      <rPr>
        <sz val="11"/>
        <color theme="1"/>
        <rFont val="Segoe UI"/>
        <family val="3"/>
      </rPr>
      <t>Y2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Segoe UI"/>
        <family val="3"/>
      </rPr>
      <t>Y3</t>
    </r>
    <r>
      <rPr>
        <sz val="11"/>
        <color theme="1"/>
        <rFont val="等线"/>
        <family val="3"/>
        <charset val="134"/>
      </rPr>
      <t>做礼盒（相机</t>
    </r>
    <r>
      <rPr>
        <sz val="11"/>
        <color theme="1"/>
        <rFont val="Segoe UI"/>
        <family val="2"/>
      </rPr>
      <t xml:space="preserve"> + </t>
    </r>
    <r>
      <rPr>
        <sz val="11"/>
        <color theme="1"/>
        <rFont val="等线"/>
        <family val="3"/>
        <charset val="134"/>
      </rPr>
      <t>相纸</t>
    </r>
    <r>
      <rPr>
        <sz val="11"/>
        <color theme="1"/>
        <rFont val="Segoe UI"/>
        <family val="2"/>
      </rPr>
      <t>/</t>
    </r>
    <r>
      <rPr>
        <sz val="11"/>
        <color theme="1"/>
        <rFont val="等线"/>
        <family val="3"/>
        <charset val="134"/>
      </rPr>
      <t>打印机联动套装</t>
    </r>
    <r>
      <rPr>
        <sz val="11"/>
        <color theme="1"/>
        <rFont val="Segoe UI"/>
        <family val="2"/>
      </rPr>
      <t>/</t>
    </r>
    <r>
      <rPr>
        <sz val="11"/>
        <color theme="1"/>
        <rFont val="等线"/>
        <family val="3"/>
        <charset val="134"/>
      </rPr>
      <t xml:space="preserve">联名挂绳）测试价格天花板 —— </t>
    </r>
    <r>
      <rPr>
        <sz val="11"/>
        <color theme="1"/>
        <rFont val="宋体"/>
        <family val="2"/>
        <charset val="134"/>
      </rPr>
      <t xml:space="preserve">富士 </t>
    </r>
    <r>
      <rPr>
        <sz val="11"/>
        <color theme="1"/>
        <rFont val="Segoe UI"/>
        <family val="2"/>
      </rPr>
      <t xml:space="preserve">Instax </t>
    </r>
    <r>
      <rPr>
        <sz val="11"/>
        <color theme="1"/>
        <rFont val="等线"/>
        <family val="3"/>
        <charset val="134"/>
      </rPr>
      <t>礼盒逻辑都验证过礼赠场景溢价，成本几乎不变，单台净利</t>
    </r>
    <r>
      <rPr>
        <sz val="11"/>
        <color theme="1"/>
        <rFont val="宋体"/>
        <family val="2"/>
        <charset val="134"/>
      </rPr>
      <t>增加</t>
    </r>
    <r>
      <rPr>
        <sz val="11"/>
        <color theme="1"/>
        <rFont val="等线"/>
        <family val="3"/>
        <charset val="134"/>
      </rPr>
      <t>。若转化率好，主销版本可长期留在</t>
    </r>
    <r>
      <rPr>
        <sz val="11"/>
        <color theme="1"/>
        <rFont val="Segoe UI"/>
        <family val="2"/>
      </rPr>
      <t xml:space="preserve"> 599 </t>
    </r>
    <r>
      <rPr>
        <sz val="11"/>
        <color theme="1"/>
        <rFont val="等线"/>
        <family val="3"/>
        <charset val="134"/>
      </rPr>
      <t>用</t>
    </r>
    <r>
      <rPr>
        <sz val="11"/>
        <color theme="1"/>
        <rFont val="Segoe UI"/>
        <family val="2"/>
      </rPr>
      <t xml:space="preserve"> 618/</t>
    </r>
    <r>
      <rPr>
        <sz val="11"/>
        <color theme="1"/>
        <rFont val="等线"/>
        <family val="3"/>
        <charset val="134"/>
      </rPr>
      <t>双</t>
    </r>
    <r>
      <rPr>
        <sz val="11"/>
        <color theme="1"/>
        <rFont val="Segoe UI"/>
        <family val="2"/>
      </rPr>
      <t xml:space="preserve"> 11 </t>
    </r>
    <r>
      <rPr>
        <sz val="11"/>
        <color theme="1"/>
        <rFont val="等线"/>
        <family val="3"/>
        <charset val="134"/>
      </rPr>
      <t>做节奏。</t>
    </r>
    <phoneticPr fontId="33" type="noConversion"/>
  </si>
  <si>
    <r>
      <rPr>
        <b/>
        <sz val="11"/>
        <color theme="1"/>
        <rFont val="等线"/>
        <family val="3"/>
        <charset val="134"/>
      </rPr>
      <t>品牌切换后的身份问题：</t>
    </r>
    <r>
      <rPr>
        <sz val="11"/>
        <color theme="1"/>
        <rFont val="Segoe UI"/>
        <family val="2"/>
      </rPr>
      <t xml:space="preserve">499 </t>
    </r>
    <r>
      <rPr>
        <sz val="11"/>
        <color theme="1"/>
        <rFont val="等线"/>
        <family val="3"/>
        <charset val="134"/>
      </rPr>
      <t>会把</t>
    </r>
    <r>
      <rPr>
        <sz val="11"/>
        <color theme="1"/>
        <rFont val="Segoe UI"/>
        <family val="2"/>
      </rPr>
      <t xml:space="preserve"> AiKen </t>
    </r>
    <r>
      <rPr>
        <sz val="11"/>
        <color theme="1"/>
        <rFont val="等线"/>
        <family val="3"/>
        <charset val="134"/>
      </rPr>
      <t>定成</t>
    </r>
    <r>
      <rPr>
        <sz val="11"/>
        <color theme="1"/>
        <rFont val="等线"/>
        <family val="2"/>
        <charset val="134"/>
      </rPr>
      <t>“</t>
    </r>
    <r>
      <rPr>
        <sz val="11"/>
        <color theme="1"/>
        <rFont val="等线"/>
        <family val="3"/>
        <charset val="134"/>
      </rPr>
      <t>廉价玩具</t>
    </r>
    <r>
      <rPr>
        <sz val="11"/>
        <color theme="1"/>
        <rFont val="等线"/>
        <family val="2"/>
        <charset val="134"/>
      </rPr>
      <t>”</t>
    </r>
    <r>
      <rPr>
        <sz val="11"/>
        <color theme="1"/>
        <rFont val="等线"/>
        <family val="3"/>
        <charset val="134"/>
      </rPr>
      <t>，与柯达</t>
    </r>
    <r>
      <rPr>
        <sz val="11"/>
        <color theme="1"/>
        <rFont val="Segoe UI"/>
        <family val="2"/>
      </rPr>
      <t xml:space="preserve"> Charmera</t>
    </r>
    <r>
      <rPr>
        <sz val="11"/>
        <color theme="1"/>
        <rFont val="等线"/>
        <family val="3"/>
        <charset val="134"/>
      </rPr>
      <t>（</t>
    </r>
    <r>
      <rPr>
        <sz val="11"/>
        <color theme="1"/>
        <rFont val="Segoe UI"/>
        <family val="2"/>
      </rPr>
      <t xml:space="preserve">209 </t>
    </r>
    <r>
      <rPr>
        <sz val="11"/>
        <color theme="1"/>
        <rFont val="等线"/>
        <family val="3"/>
        <charset val="134"/>
      </rPr>
      <t>元）一类混同，反而削弱</t>
    </r>
    <r>
      <rPr>
        <b/>
        <sz val="11"/>
        <color rgb="FFC00000"/>
        <rFont val="等线"/>
        <family val="3"/>
        <charset val="134"/>
      </rPr>
      <t>“胶卷仪式感”的情绪价值定位</t>
    </r>
    <r>
      <rPr>
        <sz val="11"/>
        <color theme="1"/>
        <rFont val="等线"/>
        <family val="3"/>
        <charset val="134"/>
      </rPr>
      <t>；</t>
    </r>
    <r>
      <rPr>
        <sz val="11"/>
        <color theme="1"/>
        <rFont val="Segoe UI"/>
        <family val="2"/>
      </rPr>
      <t xml:space="preserve">599 </t>
    </r>
    <r>
      <rPr>
        <sz val="11"/>
        <color theme="1"/>
        <rFont val="等线"/>
        <family val="3"/>
        <charset val="134"/>
      </rPr>
      <t>保留</t>
    </r>
    <r>
      <rPr>
        <sz val="11"/>
        <color theme="1"/>
        <rFont val="等线"/>
        <family val="2"/>
        <charset val="134"/>
      </rPr>
      <t>“</t>
    </r>
    <r>
      <rPr>
        <sz val="11"/>
        <color theme="1"/>
        <rFont val="等线"/>
        <family val="3"/>
        <charset val="134"/>
      </rPr>
      <t>轻奢潮玩</t>
    </r>
    <r>
      <rPr>
        <sz val="11"/>
        <color theme="1"/>
        <rFont val="等线"/>
        <family val="2"/>
        <charset val="134"/>
      </rPr>
      <t>”</t>
    </r>
    <r>
      <rPr>
        <sz val="11"/>
        <color theme="1"/>
        <rFont val="等线"/>
        <family val="3"/>
        <charset val="134"/>
      </rPr>
      <t>的心理账户</t>
    </r>
    <r>
      <rPr>
        <sz val="11"/>
        <color theme="1"/>
        <rFont val="宋体"/>
        <family val="3"/>
        <charset val="134"/>
      </rPr>
      <t>。</t>
    </r>
    <phoneticPr fontId="33" type="noConversion"/>
  </si>
  <si>
    <t>右侧为沉没成本</t>
    <phoneticPr fontId="33" type="noConversion"/>
  </si>
  <si>
    <t>单次MOQ 3000，每三个月做一批。</t>
    <phoneticPr fontId="33" type="noConversion"/>
  </si>
  <si>
    <t>ROI保持为正</t>
    <phoneticPr fontId="33" type="noConversion"/>
  </si>
  <si>
    <t>Nomal *3</t>
    <phoneticPr fontId="33" type="noConversion"/>
  </si>
  <si>
    <t>原127 人月，10月前约50，转极印后压缩20%</t>
    <phoneticPr fontId="33" type="noConversion"/>
  </si>
  <si>
    <t>线上渠道正常发挥（天猫/抖音/京东自营 + 达人分销）。</t>
    <phoneticPr fontId="33" type="noConversion"/>
  </si>
  <si>
    <t>产品的仿胶卷卖点成为话题，得到市场接受，社媒有自来水传播。</t>
    <phoneticPr fontId="33" type="noConversion"/>
  </si>
  <si>
    <t>纯冷启动、社媒无传播、只靠自然流量和照片机存量转化。</t>
    <phoneticPr fontId="33" type="noConversion"/>
  </si>
  <si>
    <t>AiKen 销量概率分布 · 读数表</t>
  </si>
  <si>
    <t>模型 v0.2 · 8,000 次蒙特卡洛 · 参数：参照类已校准，漏斗为行业通带占位（待市场部数据校准）</t>
  </si>
  <si>
    <t>这个分布是什么？</t>
  </si>
  <si>
    <t>8,000 次模拟得到的「首年（或三年累计）销量」的全集。每次模拟 = 从参照类先验区间随机抽一组 (m·p·q) 跑一条 Bass 曲线。它不是正态分布——右尾更长（小概率卖出非常多），形状类似对数正态。</t>
  </si>
  <si>
    <t>横轴 / 纵轴各是什么？</t>
  </si>
  <si>
    <t>横轴 = 销量（台）；纵轴 = 概率密度（落在这个销量区间的模拟次数占比）。曲线下总面积 = 100%。</t>
  </si>
  <si>
    <t>P5 / P50 / P95 是什么？</t>
  </si>
  <si>
    <t>分位数。P50 = 中位数：一半的模拟结果比它高、一半比它低（最可能的单点读数）。P5 = 只有 5% 的模拟比它更差（悲观边界）；P95 = 只有 5% 的模拟比它更好（乐观边界）。P5–P95 之间覆盖了 90% 的可能性，即「大概率区间」。</t>
  </si>
  <si>
    <t>怎么读「达到某销量对应多少概率」？</t>
  </si>
  <si>
    <t>两种读法：① 找分位表中第一个 ≥ 该销量的行，其概率列即答案（近似）；② 直接查「关键概率」表——如 P(首年 ≥ 3.6万) 表示 8,000 次模拟中销量 ≥ 36,000 台的次数占比。注意：分位表给的是「多少分位对应多少销量」，关键概率表给的是「多少销量对应多少概率」，两者互为反查。</t>
  </si>
  <si>
    <t>和三档场景（Worst/Normal/Best）什么关系？</t>
  </si>
  <si>
    <t>三档场景 = 分布上的分位锚，不是预测点：Worst（月销500→年6000）≈ P1 以下；Normal（月销1000→年1.2万）≈ P1；Best（月销3000→年3.6万）≈ P75。三档供供应链与财务执行使用；全分布才是决策工具（详见方法论说明页）。</t>
  </si>
  <si>
    <t>为什么首年 P50（2.86万）比会议 Normal（1.2万）高？</t>
  </si>
  <si>
    <t>主要差异来自媒介预算假设：模型按上市前 6 个月 120–280 万投放测算（P50≈202万），而会议 Normal 按 2% 销售费用折算全年仅约 14 万。校准会已确认 2% 不够——预算口径待市场部确认后重跑 v0.3。</t>
  </si>
  <si>
    <t>读数示例</t>
  </si>
  <si>
    <t>「首年销量 P50 = 28,600 台」→ 一半的可能性卖得比它多；「P(首年 ≥ 36,000) = 25.8%」→ 约四分之一的概率达到 Best 档；「三年累计 P95 = 158,000 台」→ 20 次里约有 1 次三年卖过 15.8 万台。</t>
    <phoneticPr fontId="33" type="noConversion"/>
  </si>
  <si>
    <t>销量分位表 · 首年 &amp; 三年累计</t>
  </si>
  <si>
    <t>读法：如「首年 P50 = 28,600」表示 50% 的模拟结果首年销量低于 28,600 台。淡黄行 = 会议三档场景锚。</t>
  </si>
  <si>
    <t>分位 P(x)</t>
  </si>
  <si>
    <t>首年销量（台）</t>
  </si>
  <si>
    <t>首年销量（万台）</t>
  </si>
  <si>
    <t>首年 ≥ 该销量的概率</t>
  </si>
  <si>
    <t>三年累计（台）</t>
  </si>
  <si>
    <t>三年累计（万台）</t>
  </si>
  <si>
    <t>三年 ≥ 该销量的概率</t>
  </si>
  <si>
    <t>P5</t>
  </si>
  <si>
    <t>95.0%</t>
  </si>
  <si>
    <t>P10</t>
  </si>
  <si>
    <t>90.0%</t>
  </si>
  <si>
    <t>P15</t>
  </si>
  <si>
    <t>85.0%</t>
  </si>
  <si>
    <t>P20</t>
  </si>
  <si>
    <t>80.0%</t>
  </si>
  <si>
    <t>P25</t>
  </si>
  <si>
    <t>75.0%</t>
  </si>
  <si>
    <t>P30</t>
  </si>
  <si>
    <t>70.0%</t>
  </si>
  <si>
    <t>P35</t>
  </si>
  <si>
    <t>65.0%</t>
  </si>
  <si>
    <t>P40</t>
  </si>
  <si>
    <t>60.0%</t>
  </si>
  <si>
    <t>P45</t>
  </si>
  <si>
    <t>55.0%</t>
  </si>
  <si>
    <t>P50</t>
  </si>
  <si>
    <t>50.0%</t>
  </si>
  <si>
    <t>P55</t>
  </si>
  <si>
    <t>45.0%</t>
  </si>
  <si>
    <t>P60</t>
  </si>
  <si>
    <t>40.0%</t>
  </si>
  <si>
    <t>P65</t>
  </si>
  <si>
    <t>35.0%</t>
  </si>
  <si>
    <t>P70</t>
  </si>
  <si>
    <t>30.0%</t>
  </si>
  <si>
    <t>P75</t>
  </si>
  <si>
    <t>25.0%</t>
  </si>
  <si>
    <t>P80</t>
  </si>
  <si>
    <t>20.0%</t>
  </si>
  <si>
    <t>P85</t>
  </si>
  <si>
    <t>15.0%</t>
  </si>
  <si>
    <t>P90</t>
  </si>
  <si>
    <t>10.0%</t>
  </si>
  <si>
    <t>P95</t>
  </si>
  <si>
    <t>5.0%</t>
  </si>
  <si>
    <t>关键概率读数</t>
  </si>
  <si>
    <t>问法</t>
  </si>
  <si>
    <t>首年</t>
  </si>
  <si>
    <t>三年累计</t>
  </si>
  <si>
    <t>P(≥ 6,000 台)  — Worst 场景线</t>
  </si>
  <si>
    <t>99.9%</t>
  </si>
  <si>
    <t>100.0%</t>
  </si>
  <si>
    <t>P(≥ 12,000 台) — Normal 场景线</t>
  </si>
  <si>
    <t>98.5%</t>
  </si>
  <si>
    <t>99.5%</t>
  </si>
  <si>
    <t>P(≥ 36,000 台) — Best 场景线</t>
  </si>
  <si>
    <t>25.8%</t>
  </si>
  <si>
    <t>90.2%</t>
  </si>
  <si>
    <t>P(≥ 50,000 台)</t>
  </si>
  <si>
    <t>5.1%</t>
  </si>
  <si>
    <t>78.7%</t>
  </si>
  <si>
    <t>P(≥ 100,000 台) — 十万台线</t>
  </si>
  <si>
    <t>0.0%</t>
  </si>
  <si>
    <t>28.5%</t>
  </si>
  <si>
    <t>P(≥ 200,000 台)</t>
  </si>
  <si>
    <t>1.1%</t>
  </si>
  <si>
    <t>注：本表由 v0.2 模拟结果（v02_results.npz）直接计算生成；v0.3 校准后数字将更新。</t>
  </si>
  <si>
    <t>Nomal：中位线</t>
    <phoneticPr fontId="33" type="noConversion"/>
  </si>
  <si>
    <t>线上官旗比例</t>
    <phoneticPr fontId="33" type="noConversion"/>
  </si>
  <si>
    <t>线上官旗折扣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</si>
</sst>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??_ ;_ @_ "/>
    <numFmt numFmtId="178" formatCode="&quot;￥&quot;#,##0.00_);[Red]\(&quot;￥&quot;#,##0.00\)"/>
    <numFmt numFmtId="179" formatCode="_ * #,##0_ ;_ * \-#,##0_ ;_ * &quot;-&quot;??_ ;_ @_ "/>
    <numFmt numFmtId="180" formatCode="0.0%"/>
    <numFmt numFmtId="181" formatCode="\¥#,##0.00_);[Red]\(\¥#,##0.00\)"/>
    <numFmt numFmtId="182" formatCode="_ * #,##0_ ;_ * \-#,##0_ ;_ * &quot;-&quot;?_ ;_ @_ "/>
    <numFmt numFmtId="183" formatCode="\¥#,##0_);[Red]\(\¥#,##0\)"/>
    <numFmt numFmtId="184" formatCode="&quot;$&quot;#,##0_);[Red]\(&quot;$&quot;#,##0\)"/>
  </numFmts>
  <fonts count="57">
    <font>
      <sz val="11"/>
      <color theme="1"/>
      <name val="等线"/>
      <charset val="134"/>
      <scheme val="minor"/>
    </font>
    <font>
      <sz val="10"/>
      <color rgb="FFFF0000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b/>
      <sz val="14"/>
      <color theme="0"/>
      <name val="微软雅黑"/>
      <family val="2"/>
      <charset val="134"/>
    </font>
    <font>
      <sz val="10"/>
      <color theme="9" tint="-0.499984740745262"/>
      <name val="Microsoft YaHei UI"/>
      <family val="2"/>
      <charset val="134"/>
    </font>
    <font>
      <b/>
      <sz val="10"/>
      <color theme="0"/>
      <name val="Microsoft YaHei UI"/>
      <family val="2"/>
      <charset val="134"/>
    </font>
    <font>
      <b/>
      <sz val="10"/>
      <color theme="1"/>
      <name val="Microsoft YaHei UI"/>
      <family val="2"/>
      <charset val="134"/>
    </font>
    <font>
      <b/>
      <sz val="11"/>
      <color theme="0"/>
      <name val="Microsoft YaHei UI"/>
      <family val="2"/>
      <charset val="134"/>
    </font>
    <font>
      <b/>
      <sz val="10"/>
      <color theme="9" tint="-0.249977111117893"/>
      <name val="Microsoft YaHei UI"/>
      <family val="2"/>
      <charset val="134"/>
    </font>
    <font>
      <b/>
      <sz val="10"/>
      <color theme="5" tint="-0.249977111117893"/>
      <name val="Microsoft YaHei UI"/>
      <family val="2"/>
      <charset val="134"/>
    </font>
    <font>
      <sz val="10"/>
      <color theme="1" tint="0.499984740745262"/>
      <name val="Microsoft YaHei UI"/>
      <family val="2"/>
      <charset val="134"/>
    </font>
    <font>
      <sz val="10"/>
      <name val="Microsoft YaHei UI"/>
      <family val="2"/>
      <charset val="134"/>
    </font>
    <font>
      <b/>
      <sz val="10"/>
      <name val="Microsoft YaHei UI"/>
      <family val="2"/>
      <charset val="134"/>
    </font>
    <font>
      <b/>
      <sz val="10"/>
      <color theme="1" tint="0.499984740745262"/>
      <name val="Microsoft YaHei UI"/>
      <family val="2"/>
      <charset val="134"/>
    </font>
    <font>
      <b/>
      <sz val="14"/>
      <color theme="0"/>
      <name val="Microsoft YaHei UI"/>
      <family val="2"/>
      <charset val="134"/>
    </font>
    <font>
      <b/>
      <sz val="10"/>
      <color theme="9" tint="-0.499984740745262"/>
      <name val="Microsoft YaHei UI"/>
      <family val="2"/>
      <charset val="134"/>
    </font>
    <font>
      <sz val="8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微软雅黑 Light"/>
      <family val="2"/>
      <charset val="134"/>
    </font>
    <font>
      <b/>
      <sz val="11"/>
      <color theme="1"/>
      <name val="微软雅黑 Light"/>
      <family val="2"/>
      <charset val="134"/>
    </font>
    <font>
      <sz val="10"/>
      <name val="微软雅黑"/>
      <family val="2"/>
      <charset val="134"/>
    </font>
    <font>
      <b/>
      <sz val="14"/>
      <name val="微软雅黑"/>
      <family val="2"/>
      <charset val="134"/>
    </font>
    <font>
      <sz val="10"/>
      <name val="Calibri"/>
      <family val="2"/>
    </font>
    <font>
      <sz val="14"/>
      <name val="微软雅黑"/>
      <family val="2"/>
      <charset val="134"/>
    </font>
    <font>
      <sz val="8"/>
      <name val="微软雅黑"/>
      <family val="2"/>
      <charset val="134"/>
    </font>
    <font>
      <b/>
      <sz val="2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2"/>
      <color rgb="FFFA7D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i/>
      <sz val="12"/>
      <color rgb="FF7F7F7F"/>
      <name val="等线"/>
      <family val="3"/>
      <charset val="134"/>
      <scheme val="minor"/>
    </font>
    <font>
      <sz val="12"/>
      <color rgb="FF3F3F7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</font>
    <font>
      <b/>
      <sz val="11"/>
      <color theme="1"/>
      <name val="Segoe UI"/>
      <family val="2"/>
    </font>
    <font>
      <b/>
      <sz val="11"/>
      <color theme="1"/>
      <name val="等线"/>
      <family val="3"/>
      <charset val="134"/>
    </font>
    <font>
      <sz val="11"/>
      <color rgb="FF191919"/>
      <name val="Segoe UI"/>
      <family val="2"/>
    </font>
    <font>
      <sz val="11"/>
      <color rgb="FF18181B"/>
      <name val="Segoe UI"/>
      <family val="2"/>
    </font>
    <font>
      <sz val="11"/>
      <color theme="1"/>
      <name val="Segoe UI"/>
      <family val="2"/>
    </font>
    <font>
      <sz val="11"/>
      <color theme="1"/>
      <name val="等线"/>
      <family val="3"/>
      <charset val="134"/>
    </font>
    <font>
      <sz val="11"/>
      <color theme="1"/>
      <name val="Microsoft YaHei UI"/>
      <family val="2"/>
      <charset val="134"/>
    </font>
    <font>
      <sz val="11"/>
      <color theme="1"/>
      <name val="Segoe UI"/>
      <family val="3"/>
      <charset val="134"/>
    </font>
    <font>
      <sz val="11"/>
      <color theme="1"/>
      <name val="Segoe UI"/>
      <family val="3"/>
    </font>
    <font>
      <b/>
      <sz val="11"/>
      <color rgb="FFC00000"/>
      <name val="等线"/>
      <family val="3"/>
      <charset val="134"/>
    </font>
    <font>
      <b/>
      <sz val="11"/>
      <color rgb="FFC00000"/>
      <name val="Microsoft YaHei UI"/>
      <family val="2"/>
      <charset val="134"/>
    </font>
    <font>
      <b/>
      <sz val="11"/>
      <color rgb="FFC00000"/>
      <name val="Segoe UI"/>
      <family val="2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34"/>
    </font>
    <font>
      <b/>
      <sz val="14"/>
      <color rgb="FF111111"/>
      <name val="Microsoft YaHei"/>
      <family val="2"/>
      <charset val="134"/>
    </font>
    <font>
      <sz val="10"/>
      <color rgb="FF6B6B6B"/>
      <name val="Microsoft YaHei"/>
      <family val="2"/>
      <charset val="134"/>
    </font>
    <font>
      <b/>
      <sz val="10.5"/>
      <color rgb="FF111111"/>
      <name val="Microsoft YaHei"/>
      <family val="2"/>
      <charset val="134"/>
    </font>
    <font>
      <sz val="10.5"/>
      <color rgb="FF111111"/>
      <name val="Microsoft YaHei"/>
      <family val="2"/>
      <charset val="134"/>
    </font>
    <font>
      <b/>
      <sz val="10.5"/>
      <color rgb="FFFFFFFF"/>
      <name val="Microsoft YaHei"/>
      <family val="2"/>
      <charset val="134"/>
    </font>
    <font>
      <b/>
      <sz val="10.5"/>
      <color rgb="FFEC008C"/>
      <name val="Microsoft YaHei"/>
      <family val="2"/>
      <charset val="134"/>
    </font>
    <font>
      <b/>
      <sz val="12"/>
      <color rgb="FFEC008C"/>
      <name val="Microsoft YaHei"/>
      <family val="2"/>
      <charset val="134"/>
    </font>
    <font>
      <sz val="9.5"/>
      <color rgb="FF6B6B6B"/>
      <name val="Microsoft YaHei"/>
      <family val="2"/>
      <charset val="134"/>
    </font>
  </fonts>
  <fills count="1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F7F7"/>
      </patternFill>
    </fill>
    <fill>
      <patternFill patternType="solid">
        <fgColor rgb="FF111111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ck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1">
    <xf numFmtId="0" fontId="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8" fillId="15" borderId="51" applyNumberFormat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30" fillId="16" borderId="5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0" fontId="32" fillId="14" borderId="51" applyNumberFormat="0" applyAlignment="0" applyProtection="0">
      <alignment vertical="center"/>
    </xf>
  </cellStyleXfs>
  <cellXfs count="201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 applyFont="1" applyAlignment="1">
      <alignment horizontal="center" vertical="center" wrapText="1"/>
    </xf>
    <xf numFmtId="0" fontId="2" fillId="0" borderId="0" xfId="6" applyFont="1" applyAlignment="1">
      <alignment vertical="center" wrapText="1"/>
    </xf>
    <xf numFmtId="0" fontId="2" fillId="0" borderId="0" xfId="6" applyFont="1">
      <alignment vertical="center"/>
    </xf>
    <xf numFmtId="0" fontId="2" fillId="0" borderId="1" xfId="7" applyFont="1" applyFill="1" applyBorder="1" applyAlignment="1">
      <alignment vertical="center"/>
    </xf>
    <xf numFmtId="177" fontId="4" fillId="3" borderId="2" xfId="2" applyNumberFormat="1" applyFont="1" applyFill="1" applyBorder="1" applyAlignment="1">
      <alignment horizontal="center" vertical="center"/>
    </xf>
    <xf numFmtId="0" fontId="2" fillId="0" borderId="9" xfId="7" applyFont="1" applyFill="1" applyBorder="1" applyAlignment="1">
      <alignment vertical="center"/>
    </xf>
    <xf numFmtId="177" fontId="4" fillId="3" borderId="10" xfId="2" applyNumberFormat="1" applyFont="1" applyFill="1" applyBorder="1" applyAlignment="1">
      <alignment horizontal="center" vertical="center"/>
    </xf>
    <xf numFmtId="0" fontId="6" fillId="6" borderId="11" xfId="6" applyFont="1" applyFill="1" applyBorder="1" applyAlignment="1">
      <alignment horizontal="center" vertical="center"/>
    </xf>
    <xf numFmtId="0" fontId="6" fillId="6" borderId="12" xfId="6" applyFont="1" applyFill="1" applyBorder="1" applyAlignment="1">
      <alignment horizontal="center" vertical="center"/>
    </xf>
    <xf numFmtId="0" fontId="6" fillId="6" borderId="13" xfId="6" applyFont="1" applyFill="1" applyBorder="1" applyAlignment="1">
      <alignment horizontal="center" vertical="center"/>
    </xf>
    <xf numFmtId="0" fontId="6" fillId="6" borderId="14" xfId="6" applyFont="1" applyFill="1" applyBorder="1" applyAlignment="1">
      <alignment horizontal="center" vertical="center"/>
    </xf>
    <xf numFmtId="0" fontId="6" fillId="6" borderId="15" xfId="6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8" fillId="3" borderId="0" xfId="6" applyFont="1" applyFill="1" applyAlignment="1">
      <alignment horizontal="right" vertical="center"/>
    </xf>
    <xf numFmtId="176" fontId="9" fillId="3" borderId="9" xfId="2" applyFont="1" applyFill="1" applyBorder="1" applyAlignment="1">
      <alignment horizontal="center" vertical="center"/>
    </xf>
    <xf numFmtId="176" fontId="10" fillId="0" borderId="16" xfId="2" applyFont="1" applyFill="1" applyBorder="1" applyAlignment="1">
      <alignment horizontal="center" vertical="center"/>
    </xf>
    <xf numFmtId="176" fontId="10" fillId="0" borderId="17" xfId="2" applyFont="1" applyFill="1" applyBorder="1" applyAlignment="1">
      <alignment horizontal="center" vertical="center"/>
    </xf>
    <xf numFmtId="176" fontId="10" fillId="0" borderId="10" xfId="2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178" fontId="2" fillId="0" borderId="2" xfId="0" applyNumberFormat="1" applyFont="1" applyBorder="1" applyAlignment="1">
      <alignment horizontal="center" vertical="center"/>
    </xf>
    <xf numFmtId="0" fontId="10" fillId="0" borderId="0" xfId="6" applyFont="1" applyAlignment="1">
      <alignment horizontal="right" vertical="center"/>
    </xf>
    <xf numFmtId="176" fontId="10" fillId="0" borderId="9" xfId="2" applyFont="1" applyFill="1" applyBorder="1" applyAlignment="1">
      <alignment horizontal="center" vertical="center"/>
    </xf>
    <xf numFmtId="176" fontId="10" fillId="0" borderId="18" xfId="2" applyFont="1" applyFill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178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9" xfId="7" applyFont="1" applyFill="1" applyBorder="1" applyAlignment="1">
      <alignment vertical="center"/>
    </xf>
    <xf numFmtId="177" fontId="4" fillId="3" borderId="20" xfId="2" applyNumberFormat="1" applyFont="1" applyFill="1" applyBorder="1" applyAlignment="1">
      <alignment horizontal="center" vertical="center"/>
    </xf>
    <xf numFmtId="176" fontId="4" fillId="3" borderId="9" xfId="2" applyFont="1" applyFill="1" applyBorder="1" applyAlignment="1">
      <alignment horizontal="center" vertical="center"/>
    </xf>
    <xf numFmtId="179" fontId="6" fillId="0" borderId="10" xfId="0" applyNumberFormat="1" applyFont="1" applyBorder="1">
      <alignment vertical="center"/>
    </xf>
    <xf numFmtId="176" fontId="1" fillId="3" borderId="9" xfId="2" applyFont="1" applyFill="1" applyBorder="1" applyAlignment="1">
      <alignment horizontal="center" vertical="center"/>
    </xf>
    <xf numFmtId="176" fontId="6" fillId="0" borderId="10" xfId="2" applyFont="1" applyBorder="1">
      <alignment vertical="center"/>
    </xf>
    <xf numFmtId="176" fontId="4" fillId="3" borderId="2" xfId="2" applyFont="1" applyFill="1" applyBorder="1" applyAlignment="1">
      <alignment horizontal="center" vertical="center"/>
    </xf>
    <xf numFmtId="176" fontId="10" fillId="0" borderId="9" xfId="2" applyFont="1" applyFill="1" applyBorder="1" applyAlignment="1">
      <alignment horizontal="center" vertical="center" wrapText="1"/>
    </xf>
    <xf numFmtId="176" fontId="10" fillId="0" borderId="18" xfId="2" applyFont="1" applyFill="1" applyBorder="1" applyAlignment="1">
      <alignment horizontal="center" vertical="center" wrapText="1"/>
    </xf>
    <xf numFmtId="176" fontId="10" fillId="0" borderId="10" xfId="2" applyFont="1" applyFill="1" applyBorder="1" applyAlignment="1">
      <alignment horizontal="center" vertical="center" wrapText="1"/>
    </xf>
    <xf numFmtId="176" fontId="4" fillId="3" borderId="10" xfId="2" applyFont="1" applyFill="1" applyBorder="1" applyAlignment="1">
      <alignment horizontal="center" vertical="center"/>
    </xf>
    <xf numFmtId="10" fontId="4" fillId="3" borderId="9" xfId="3" applyNumberFormat="1" applyFont="1" applyFill="1" applyBorder="1" applyAlignment="1">
      <alignment horizontal="center" vertical="center"/>
    </xf>
    <xf numFmtId="10" fontId="10" fillId="0" borderId="16" xfId="3" applyNumberFormat="1" applyFont="1" applyFill="1" applyBorder="1" applyAlignment="1">
      <alignment horizontal="center" vertical="center"/>
    </xf>
    <xf numFmtId="10" fontId="10" fillId="0" borderId="18" xfId="3" applyNumberFormat="1" applyFont="1" applyFill="1" applyBorder="1" applyAlignment="1">
      <alignment horizontal="center" vertical="center"/>
    </xf>
    <xf numFmtId="10" fontId="10" fillId="0" borderId="10" xfId="3" applyNumberFormat="1" applyFont="1" applyFill="1" applyBorder="1" applyAlignment="1">
      <alignment horizontal="center" vertical="center"/>
    </xf>
    <xf numFmtId="180" fontId="2" fillId="0" borderId="10" xfId="3" applyNumberFormat="1" applyFont="1" applyBorder="1">
      <alignment vertical="center"/>
    </xf>
    <xf numFmtId="9" fontId="2" fillId="0" borderId="20" xfId="3" applyFont="1" applyBorder="1">
      <alignment vertical="center"/>
    </xf>
    <xf numFmtId="176" fontId="2" fillId="0" borderId="2" xfId="2" applyFont="1" applyBorder="1">
      <alignment vertical="center"/>
    </xf>
    <xf numFmtId="176" fontId="10" fillId="8" borderId="10" xfId="2" applyFont="1" applyFill="1" applyBorder="1" applyAlignment="1">
      <alignment horizontal="center" vertical="center"/>
    </xf>
    <xf numFmtId="43" fontId="6" fillId="0" borderId="20" xfId="0" applyNumberFormat="1" applyFont="1" applyBorder="1">
      <alignment vertical="center"/>
    </xf>
    <xf numFmtId="176" fontId="4" fillId="3" borderId="20" xfId="2" applyFont="1" applyFill="1" applyBorder="1" applyAlignment="1">
      <alignment horizontal="center" vertical="center"/>
    </xf>
    <xf numFmtId="0" fontId="11" fillId="0" borderId="0" xfId="6" applyFont="1">
      <alignment vertical="center"/>
    </xf>
    <xf numFmtId="179" fontId="4" fillId="3" borderId="2" xfId="1" applyNumberFormat="1" applyFont="1" applyFill="1" applyBorder="1" applyAlignment="1">
      <alignment horizontal="center" vertical="center"/>
    </xf>
    <xf numFmtId="179" fontId="4" fillId="3" borderId="10" xfId="1" applyNumberFormat="1" applyFont="1" applyFill="1" applyBorder="1" applyAlignment="1">
      <alignment horizontal="center" vertical="center"/>
    </xf>
    <xf numFmtId="0" fontId="12" fillId="0" borderId="0" xfId="6" applyFont="1" applyAlignment="1">
      <alignment horizontal="right" vertical="center"/>
    </xf>
    <xf numFmtId="176" fontId="13" fillId="0" borderId="16" xfId="2" applyFont="1" applyFill="1" applyBorder="1" applyAlignment="1">
      <alignment horizontal="center" vertical="center"/>
    </xf>
    <xf numFmtId="176" fontId="13" fillId="0" borderId="18" xfId="2" applyFont="1" applyFill="1" applyBorder="1" applyAlignment="1">
      <alignment horizontal="center" vertical="center"/>
    </xf>
    <xf numFmtId="176" fontId="13" fillId="0" borderId="10" xfId="2" applyFont="1" applyFill="1" applyBorder="1" applyAlignment="1">
      <alignment horizontal="center" vertical="center"/>
    </xf>
    <xf numFmtId="179" fontId="4" fillId="0" borderId="10" xfId="1" applyNumberFormat="1" applyFont="1" applyFill="1" applyBorder="1" applyAlignment="1">
      <alignment horizontal="center" vertical="center"/>
    </xf>
    <xf numFmtId="179" fontId="4" fillId="3" borderId="10" xfId="1" applyNumberFormat="1" applyFont="1" applyFill="1" applyBorder="1" applyAlignment="1">
      <alignment vertical="center"/>
    </xf>
    <xf numFmtId="10" fontId="10" fillId="0" borderId="9" xfId="3" applyNumberFormat="1" applyFont="1" applyFill="1" applyBorder="1" applyAlignment="1">
      <alignment horizontal="center" vertical="center"/>
    </xf>
    <xf numFmtId="179" fontId="4" fillId="3" borderId="20" xfId="1" applyNumberFormat="1" applyFont="1" applyFill="1" applyBorder="1" applyAlignment="1">
      <alignment vertical="center"/>
    </xf>
    <xf numFmtId="179" fontId="10" fillId="0" borderId="9" xfId="1" applyNumberFormat="1" applyFont="1" applyFill="1" applyBorder="1" applyAlignment="1">
      <alignment horizontal="center" vertical="center"/>
    </xf>
    <xf numFmtId="179" fontId="10" fillId="0" borderId="16" xfId="1" applyNumberFormat="1" applyFont="1" applyFill="1" applyBorder="1" applyAlignment="1">
      <alignment horizontal="center" vertical="center"/>
    </xf>
    <xf numFmtId="179" fontId="10" fillId="0" borderId="9" xfId="1" applyNumberFormat="1" applyFont="1" applyFill="1" applyBorder="1">
      <alignment vertical="center"/>
    </xf>
    <xf numFmtId="179" fontId="10" fillId="0" borderId="18" xfId="1" applyNumberFormat="1" applyFont="1" applyFill="1" applyBorder="1">
      <alignment vertical="center"/>
    </xf>
    <xf numFmtId="179" fontId="10" fillId="0" borderId="10" xfId="1" applyNumberFormat="1" applyFont="1" applyFill="1" applyBorder="1">
      <alignment vertical="center"/>
    </xf>
    <xf numFmtId="2" fontId="2" fillId="0" borderId="0" xfId="6" applyNumberFormat="1" applyFont="1" applyAlignment="1">
      <alignment vertical="center" wrapText="1"/>
    </xf>
    <xf numFmtId="176" fontId="12" fillId="0" borderId="9" xfId="2" applyFont="1" applyFill="1" applyBorder="1" applyAlignment="1">
      <alignment horizontal="center" vertical="center"/>
    </xf>
    <xf numFmtId="176" fontId="12" fillId="0" borderId="9" xfId="2" applyFont="1" applyFill="1" applyBorder="1">
      <alignment vertical="center"/>
    </xf>
    <xf numFmtId="176" fontId="10" fillId="0" borderId="18" xfId="2" applyFont="1" applyFill="1" applyBorder="1">
      <alignment vertical="center"/>
    </xf>
    <xf numFmtId="176" fontId="10" fillId="0" borderId="10" xfId="2" applyFont="1" applyFill="1" applyBorder="1">
      <alignment vertical="center"/>
    </xf>
    <xf numFmtId="176" fontId="12" fillId="0" borderId="19" xfId="2" applyFont="1" applyFill="1" applyBorder="1" applyAlignment="1">
      <alignment horizontal="center" vertical="center"/>
    </xf>
    <xf numFmtId="176" fontId="10" fillId="0" borderId="21" xfId="2" applyFont="1" applyFill="1" applyBorder="1" applyAlignment="1">
      <alignment horizontal="center" vertical="center"/>
    </xf>
    <xf numFmtId="176" fontId="12" fillId="0" borderId="19" xfId="2" applyFont="1" applyFill="1" applyBorder="1">
      <alignment vertical="center"/>
    </xf>
    <xf numFmtId="176" fontId="10" fillId="0" borderId="22" xfId="2" applyFont="1" applyFill="1" applyBorder="1">
      <alignment vertical="center"/>
    </xf>
    <xf numFmtId="176" fontId="10" fillId="0" borderId="20" xfId="2" applyFont="1" applyFill="1" applyBorder="1">
      <alignment vertical="center"/>
    </xf>
    <xf numFmtId="0" fontId="2" fillId="0" borderId="0" xfId="6" applyFont="1" applyAlignment="1">
      <alignment horizontal="right" vertical="center"/>
    </xf>
    <xf numFmtId="43" fontId="2" fillId="0" borderId="0" xfId="1" applyFont="1" applyBorder="1">
      <alignment vertical="center"/>
    </xf>
    <xf numFmtId="43" fontId="2" fillId="0" borderId="0" xfId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43" fontId="2" fillId="0" borderId="0" xfId="1" applyFont="1" applyAlignment="1">
      <alignment horizontal="left" vertical="center"/>
    </xf>
    <xf numFmtId="0" fontId="2" fillId="0" borderId="0" xfId="0" applyFont="1" applyAlignment="1">
      <alignment horizontal="right"/>
    </xf>
    <xf numFmtId="176" fontId="4" fillId="3" borderId="1" xfId="1" applyNumberFormat="1" applyFont="1" applyFill="1" applyBorder="1" applyAlignment="1"/>
    <xf numFmtId="176" fontId="11" fillId="0" borderId="2" xfId="1" applyNumberFormat="1" applyFont="1" applyFill="1" applyBorder="1" applyAlignment="1"/>
    <xf numFmtId="176" fontId="4" fillId="3" borderId="9" xfId="1" applyNumberFormat="1" applyFont="1" applyFill="1" applyBorder="1" applyAlignment="1"/>
    <xf numFmtId="176" fontId="11" fillId="0" borderId="10" xfId="1" applyNumberFormat="1" applyFont="1" applyFill="1" applyBorder="1" applyAlignment="1"/>
    <xf numFmtId="43" fontId="11" fillId="0" borderId="9" xfId="1" applyFont="1" applyFill="1" applyBorder="1" applyAlignment="1"/>
    <xf numFmtId="43" fontId="11" fillId="0" borderId="10" xfId="1" applyFont="1" applyFill="1" applyBorder="1" applyAlignment="1">
      <alignment horizontal="center"/>
    </xf>
    <xf numFmtId="176" fontId="11" fillId="0" borderId="9" xfId="1" applyNumberFormat="1" applyFont="1" applyFill="1" applyBorder="1" applyAlignment="1"/>
    <xf numFmtId="181" fontId="9" fillId="3" borderId="9" xfId="1" applyNumberFormat="1" applyFont="1" applyFill="1" applyBorder="1" applyAlignment="1"/>
    <xf numFmtId="9" fontId="4" fillId="3" borderId="9" xfId="1" applyNumberFormat="1" applyFont="1" applyFill="1" applyBorder="1" applyAlignment="1"/>
    <xf numFmtId="43" fontId="11" fillId="0" borderId="10" xfId="1" applyFont="1" applyFill="1" applyBorder="1" applyAlignment="1"/>
    <xf numFmtId="0" fontId="15" fillId="3" borderId="0" xfId="0" applyFont="1" applyFill="1" applyAlignment="1">
      <alignment horizontal="right"/>
    </xf>
    <xf numFmtId="9" fontId="12" fillId="0" borderId="9" xfId="3" applyFont="1" applyFill="1" applyBorder="1" applyAlignment="1"/>
    <xf numFmtId="9" fontId="11" fillId="0" borderId="10" xfId="3" applyFont="1" applyFill="1" applyBorder="1" applyAlignment="1"/>
    <xf numFmtId="0" fontId="2" fillId="0" borderId="23" xfId="0" applyFont="1" applyBorder="1">
      <alignment vertical="center"/>
    </xf>
    <xf numFmtId="0" fontId="2" fillId="0" borderId="26" xfId="0" applyFont="1" applyBorder="1">
      <alignment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9" fontId="2" fillId="10" borderId="12" xfId="1" applyNumberFormat="1" applyFont="1" applyFill="1" applyBorder="1">
      <alignment vertical="center"/>
    </xf>
    <xf numFmtId="182" fontId="2" fillId="0" borderId="0" xfId="0" applyNumberFormat="1" applyFont="1">
      <alignment vertical="center"/>
    </xf>
    <xf numFmtId="0" fontId="2" fillId="0" borderId="31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32" xfId="0" applyFont="1" applyBorder="1">
      <alignment vertical="center"/>
    </xf>
    <xf numFmtId="0" fontId="2" fillId="0" borderId="34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2" fillId="0" borderId="35" xfId="0" applyFont="1" applyBorder="1">
      <alignment vertical="center"/>
    </xf>
    <xf numFmtId="179" fontId="2" fillId="0" borderId="0" xfId="0" applyNumberFormat="1" applyFont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2" fillId="0" borderId="38" xfId="0" applyFont="1" applyBorder="1">
      <alignment vertical="center"/>
    </xf>
    <xf numFmtId="0" fontId="6" fillId="0" borderId="39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11" borderId="40" xfId="0" applyFont="1" applyFill="1" applyBorder="1" applyAlignment="1">
      <alignment horizontal="center" vertical="center"/>
    </xf>
    <xf numFmtId="0" fontId="18" fillId="11" borderId="4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42" xfId="0" applyBorder="1">
      <alignment vertical="center"/>
    </xf>
    <xf numFmtId="0" fontId="19" fillId="0" borderId="43" xfId="0" applyFont="1" applyBorder="1">
      <alignment vertical="center"/>
    </xf>
    <xf numFmtId="0" fontId="20" fillId="0" borderId="3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1" xfId="0" applyFont="1" applyBorder="1">
      <alignment vertical="center"/>
    </xf>
    <xf numFmtId="0" fontId="21" fillId="0" borderId="44" xfId="0" applyFont="1" applyBorder="1">
      <alignment vertical="center"/>
    </xf>
    <xf numFmtId="0" fontId="21" fillId="0" borderId="0" xfId="0" applyFont="1">
      <alignment vertical="center"/>
    </xf>
    <xf numFmtId="0" fontId="19" fillId="0" borderId="35" xfId="0" applyFont="1" applyBorder="1" applyAlignment="1">
      <alignment horizontal="center" vertical="center"/>
    </xf>
    <xf numFmtId="183" fontId="19" fillId="0" borderId="27" xfId="0" applyNumberFormat="1" applyFont="1" applyBorder="1">
      <alignment vertical="center"/>
    </xf>
    <xf numFmtId="0" fontId="19" fillId="0" borderId="39" xfId="0" applyFont="1" applyBorder="1">
      <alignment vertical="center"/>
    </xf>
    <xf numFmtId="0" fontId="19" fillId="12" borderId="36" xfId="0" applyFont="1" applyFill="1" applyBorder="1" applyAlignment="1">
      <alignment horizontal="center" vertical="center"/>
    </xf>
    <xf numFmtId="183" fontId="19" fillId="12" borderId="45" xfId="0" applyNumberFormat="1" applyFont="1" applyFill="1" applyBorder="1">
      <alignment vertical="center"/>
    </xf>
    <xf numFmtId="0" fontId="19" fillId="0" borderId="32" xfId="0" applyFont="1" applyBorder="1">
      <alignment vertical="center"/>
    </xf>
    <xf numFmtId="0" fontId="21" fillId="0" borderId="46" xfId="0" applyFont="1" applyBorder="1">
      <alignment vertical="center"/>
    </xf>
    <xf numFmtId="184" fontId="22" fillId="13" borderId="46" xfId="0" applyNumberFormat="1" applyFont="1" applyFill="1" applyBorder="1">
      <alignment vertical="center"/>
    </xf>
    <xf numFmtId="184" fontId="22" fillId="13" borderId="41" xfId="0" applyNumberFormat="1" applyFont="1" applyFill="1" applyBorder="1">
      <alignment vertical="center"/>
    </xf>
    <xf numFmtId="184" fontId="22" fillId="0" borderId="0" xfId="0" applyNumberFormat="1" applyFont="1">
      <alignment vertical="center"/>
    </xf>
    <xf numFmtId="0" fontId="22" fillId="13" borderId="47" xfId="0" applyFont="1" applyFill="1" applyBorder="1">
      <alignment vertical="center"/>
    </xf>
    <xf numFmtId="0" fontId="23" fillId="0" borderId="0" xfId="0" applyFont="1">
      <alignment vertical="center"/>
    </xf>
    <xf numFmtId="0" fontId="24" fillId="0" borderId="7" xfId="0" applyFont="1" applyBorder="1">
      <alignment vertical="center"/>
    </xf>
    <xf numFmtId="14" fontId="22" fillId="0" borderId="50" xfId="0" applyNumberFormat="1" applyFont="1" applyBorder="1" applyAlignment="1">
      <alignment horizontal="center" vertical="center"/>
    </xf>
    <xf numFmtId="0" fontId="22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9" fontId="2" fillId="0" borderId="20" xfId="3" applyFont="1" applyBorder="1" applyAlignment="1">
      <alignment horizontal="center" vertical="center"/>
    </xf>
    <xf numFmtId="0" fontId="2" fillId="0" borderId="53" xfId="0" applyFont="1" applyBorder="1">
      <alignment vertical="center"/>
    </xf>
    <xf numFmtId="0" fontId="27" fillId="0" borderId="0" xfId="0" applyFont="1">
      <alignment vertical="center"/>
    </xf>
    <xf numFmtId="0" fontId="35" fillId="0" borderId="42" xfId="0" applyFont="1" applyBorder="1">
      <alignment vertical="center"/>
    </xf>
    <xf numFmtId="0" fontId="35" fillId="0" borderId="43" xfId="0" applyFont="1" applyBorder="1">
      <alignment vertical="center"/>
    </xf>
    <xf numFmtId="0" fontId="35" fillId="0" borderId="33" xfId="0" applyFont="1" applyBorder="1">
      <alignment vertical="center"/>
    </xf>
    <xf numFmtId="0" fontId="37" fillId="0" borderId="35" xfId="0" applyFont="1" applyBorder="1" applyAlignment="1">
      <alignment vertical="top" wrapText="1"/>
    </xf>
    <xf numFmtId="0" fontId="37" fillId="0" borderId="27" xfId="0" applyFont="1" applyBorder="1" applyAlignment="1">
      <alignment vertical="top" wrapText="1"/>
    </xf>
    <xf numFmtId="0" fontId="38" fillId="0" borderId="27" xfId="0" applyFont="1" applyBorder="1" applyAlignment="1">
      <alignment vertical="top" wrapText="1"/>
    </xf>
    <xf numFmtId="0" fontId="37" fillId="0" borderId="39" xfId="0" applyFont="1" applyBorder="1" applyAlignment="1">
      <alignment vertical="top" wrapText="1"/>
    </xf>
    <xf numFmtId="0" fontId="38" fillId="0" borderId="35" xfId="0" applyFont="1" applyBorder="1" applyAlignment="1">
      <alignment vertical="top" wrapText="1"/>
    </xf>
    <xf numFmtId="0" fontId="38" fillId="0" borderId="39" xfId="0" applyFont="1" applyBorder="1" applyAlignment="1">
      <alignment vertical="top" wrapText="1"/>
    </xf>
    <xf numFmtId="0" fontId="37" fillId="0" borderId="36" xfId="0" applyFont="1" applyBorder="1" applyAlignment="1">
      <alignment vertical="top" wrapText="1"/>
    </xf>
    <xf numFmtId="0" fontId="37" fillId="0" borderId="45" xfId="0" applyFont="1" applyBorder="1" applyAlignment="1">
      <alignment vertical="top" wrapText="1"/>
    </xf>
    <xf numFmtId="0" fontId="37" fillId="0" borderId="32" xfId="0" applyFont="1" applyBorder="1" applyAlignment="1">
      <alignment vertical="top" wrapText="1"/>
    </xf>
    <xf numFmtId="183" fontId="0" fillId="0" borderId="0" xfId="0" applyNumberFormat="1">
      <alignment vertical="center"/>
    </xf>
    <xf numFmtId="0" fontId="19" fillId="0" borderId="39" xfId="0" applyFont="1" applyBorder="1" applyAlignment="1">
      <alignment horizontal="center" vertical="center"/>
    </xf>
    <xf numFmtId="0" fontId="49" fillId="0" borderId="0" xfId="0" applyFont="1" applyAlignment="1"/>
    <xf numFmtId="0" fontId="0" fillId="0" borderId="0" xfId="0" applyAlignment="1"/>
    <xf numFmtId="0" fontId="50" fillId="0" borderId="0" xfId="0" applyFont="1" applyAlignment="1"/>
    <xf numFmtId="0" fontId="51" fillId="17" borderId="54" xfId="0" applyFont="1" applyFill="1" applyBorder="1" applyAlignment="1">
      <alignment horizontal="left" vertical="center" wrapText="1"/>
    </xf>
    <xf numFmtId="0" fontId="52" fillId="0" borderId="54" xfId="0" applyFont="1" applyBorder="1" applyAlignment="1">
      <alignment horizontal="left" vertical="center" wrapText="1"/>
    </xf>
    <xf numFmtId="0" fontId="53" fillId="18" borderId="54" xfId="0" applyFont="1" applyFill="1" applyBorder="1" applyAlignment="1">
      <alignment horizontal="center" vertical="center"/>
    </xf>
    <xf numFmtId="0" fontId="52" fillId="0" borderId="54" xfId="0" applyFont="1" applyBorder="1" applyAlignment="1">
      <alignment horizontal="center" vertical="center"/>
    </xf>
    <xf numFmtId="0" fontId="52" fillId="17" borderId="54" xfId="0" applyFont="1" applyFill="1" applyBorder="1" applyAlignment="1">
      <alignment horizontal="center" vertical="center"/>
    </xf>
    <xf numFmtId="0" fontId="52" fillId="17" borderId="54" xfId="0" applyFont="1" applyFill="1" applyBorder="1" applyAlignment="1">
      <alignment horizontal="left" vertical="center" wrapText="1"/>
    </xf>
    <xf numFmtId="0" fontId="55" fillId="0" borderId="0" xfId="0" applyFont="1" applyAlignment="1"/>
    <xf numFmtId="0" fontId="54" fillId="0" borderId="54" xfId="0" applyFont="1" applyBorder="1" applyAlignment="1">
      <alignment horizontal="center" vertical="center"/>
    </xf>
    <xf numFmtId="0" fontId="54" fillId="17" borderId="54" xfId="0" applyFont="1" applyFill="1" applyBorder="1" applyAlignment="1">
      <alignment horizontal="center" vertical="center"/>
    </xf>
    <xf numFmtId="0" fontId="56" fillId="0" borderId="0" xfId="0" applyFont="1" applyAlignment="1"/>
    <xf numFmtId="0" fontId="14" fillId="2" borderId="0" xfId="6" applyFont="1" applyFill="1" applyAlignment="1">
      <alignment horizontal="center" vertical="center"/>
    </xf>
    <xf numFmtId="0" fontId="5" fillId="4" borderId="1" xfId="6" applyFont="1" applyFill="1" applyBorder="1" applyAlignment="1">
      <alignment horizontal="center" vertical="center"/>
    </xf>
    <xf numFmtId="0" fontId="5" fillId="4" borderId="3" xfId="6" applyFont="1" applyFill="1" applyBorder="1" applyAlignment="1">
      <alignment horizontal="center" vertical="center"/>
    </xf>
    <xf numFmtId="0" fontId="6" fillId="0" borderId="4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5" fillId="4" borderId="6" xfId="6" applyFont="1" applyFill="1" applyBorder="1" applyAlignment="1">
      <alignment horizontal="center" vertical="center"/>
    </xf>
    <xf numFmtId="0" fontId="5" fillId="4" borderId="2" xfId="6" applyFont="1" applyFill="1" applyBorder="1" applyAlignment="1">
      <alignment horizontal="center" vertical="center"/>
    </xf>
    <xf numFmtId="0" fontId="7" fillId="5" borderId="7" xfId="6" applyFont="1" applyFill="1" applyBorder="1" applyAlignment="1">
      <alignment horizontal="center" vertical="center"/>
    </xf>
    <xf numFmtId="0" fontId="7" fillId="5" borderId="8" xfId="6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83" fontId="22" fillId="13" borderId="48" xfId="0" applyNumberFormat="1" applyFont="1" applyFill="1" applyBorder="1" applyAlignment="1">
      <alignment horizontal="center" vertical="center"/>
    </xf>
    <xf numFmtId="0" fontId="23" fillId="0" borderId="49" xfId="0" applyFont="1" applyBorder="1">
      <alignment vertical="center"/>
    </xf>
    <xf numFmtId="0" fontId="17" fillId="0" borderId="0" xfId="0" applyFont="1">
      <alignment vertical="center"/>
    </xf>
    <xf numFmtId="0" fontId="0" fillId="0" borderId="0" xfId="0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39" fillId="0" borderId="0" xfId="0" applyFont="1" applyAlignment="1">
      <alignment horizontal="left" vertical="top" wrapText="1"/>
    </xf>
    <xf numFmtId="0" fontId="42" fillId="0" borderId="0" xfId="0" applyFont="1" applyAlignment="1">
      <alignment horizontal="left" vertical="top" wrapText="1"/>
    </xf>
    <xf numFmtId="0" fontId="3" fillId="2" borderId="0" xfId="6" applyFont="1" applyFill="1" applyAlignment="1">
      <alignment horizontal="center" vertical="center"/>
    </xf>
    <xf numFmtId="176" fontId="2" fillId="0" borderId="0" xfId="2" applyFont="1">
      <alignment vertical="center"/>
    </xf>
  </cellXfs>
  <cellStyles count="11">
    <cellStyle name="百分比" xfId="3" builtinId="5"/>
    <cellStyle name="百分比 2" xfId="5" xr:uid="{00000000-0005-0000-0000-000032000000}"/>
    <cellStyle name="常规" xfId="0" builtinId="0"/>
    <cellStyle name="常规 2" xfId="6" xr:uid="{00000000-0005-0000-0000-000033000000}"/>
    <cellStyle name="货币" xfId="2" builtinId="4"/>
    <cellStyle name="计算 2" xfId="4" xr:uid="{00000000-0005-0000-0000-000031000000}"/>
    <cellStyle name="检查单元格 2" xfId="7" xr:uid="{00000000-0005-0000-0000-000034000000}"/>
    <cellStyle name="解释性文本 2" xfId="8" xr:uid="{00000000-0005-0000-0000-000035000000}"/>
    <cellStyle name="千位分隔" xfId="1" builtinId="3"/>
    <cellStyle name="千位分隔 2" xfId="9" xr:uid="{00000000-0005-0000-0000-000036000000}"/>
    <cellStyle name="输入 2" xfId="10" xr:uid="{00000000-0005-0000-0000-000037000000}"/>
  </cellStyles>
  <dxfs count="0"/>
  <tableStyles count="0" defaultTableStyle="TableStyleMedium2" defaultPivotStyle="PivotStyleLight16"/>
  <colors>
    <mruColors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92"/>
  <sheetViews>
    <sheetView topLeftCell="F1" workbookViewId="0">
      <selection activeCell="I19" sqref="I19"/>
    </sheetView>
  </sheetViews>
  <sheetFormatPr defaultColWidth="12.25" defaultRowHeight="16.5" customHeight="1"/>
  <cols>
    <col min="1" max="1" width="15.6640625" customWidth="1"/>
    <col min="2" max="2" width="31.75" customWidth="1"/>
    <col min="3" max="3" width="24.58203125" customWidth="1"/>
    <col min="4" max="4" width="15.58203125" customWidth="1"/>
    <col min="7" max="7" width="15.08203125" customWidth="1"/>
    <col min="8" max="8" width="21.08203125" customWidth="1"/>
    <col min="9" max="9" width="44.08203125" bestFit="1" customWidth="1"/>
  </cols>
  <sheetData>
    <row r="2" spans="1:9" ht="16.5" customHeight="1">
      <c r="A2" s="116"/>
      <c r="B2" s="117" t="s">
        <v>1</v>
      </c>
      <c r="C2" s="118" t="s">
        <v>2</v>
      </c>
      <c r="D2" s="118" t="s">
        <v>3</v>
      </c>
      <c r="E2" s="118" t="s">
        <v>4</v>
      </c>
      <c r="F2" s="119"/>
      <c r="G2" s="120"/>
      <c r="H2" s="121"/>
      <c r="I2" s="122" t="s">
        <v>0</v>
      </c>
    </row>
    <row r="3" spans="1:9" ht="16.5" customHeight="1">
      <c r="A3" s="116"/>
      <c r="B3" s="123" t="s">
        <v>5</v>
      </c>
      <c r="C3" s="124" t="s">
        <v>6</v>
      </c>
      <c r="D3" s="125" t="e">
        <f>#REF!</f>
        <v>#REF!</v>
      </c>
      <c r="E3" s="126" t="s">
        <v>7</v>
      </c>
      <c r="F3" s="127"/>
      <c r="G3" s="128" t="s">
        <v>8</v>
      </c>
      <c r="H3" s="129">
        <v>600000</v>
      </c>
      <c r="I3" s="130"/>
    </row>
    <row r="4" spans="1:9" ht="16.5" customHeight="1">
      <c r="A4" s="116"/>
      <c r="B4" s="123" t="s">
        <v>9</v>
      </c>
      <c r="C4" s="124" t="s">
        <v>10</v>
      </c>
      <c r="D4" s="125" t="e">
        <f>#REF!</f>
        <v>#REF!</v>
      </c>
      <c r="E4" s="126" t="s">
        <v>7</v>
      </c>
      <c r="F4" s="127"/>
      <c r="G4" s="128" t="s">
        <v>11</v>
      </c>
      <c r="H4" s="129">
        <v>715000</v>
      </c>
      <c r="I4" s="130"/>
    </row>
    <row r="5" spans="1:9" ht="16.5" customHeight="1">
      <c r="A5" s="116"/>
      <c r="B5" s="123" t="s">
        <v>12</v>
      </c>
      <c r="C5" s="124" t="s">
        <v>13</v>
      </c>
      <c r="D5" s="125" t="e">
        <f>#REF!</f>
        <v>#REF!</v>
      </c>
      <c r="E5" s="126" t="s">
        <v>7</v>
      </c>
      <c r="F5" s="127"/>
      <c r="G5" s="128" t="s">
        <v>14</v>
      </c>
      <c r="H5" s="129">
        <f>781250-H13</f>
        <v>481250</v>
      </c>
      <c r="I5" s="130"/>
    </row>
    <row r="6" spans="1:9" ht="16.5" customHeight="1">
      <c r="A6" s="116"/>
      <c r="B6" s="123" t="s">
        <v>15</v>
      </c>
      <c r="C6" s="124" t="s">
        <v>16</v>
      </c>
      <c r="D6" s="125" t="e">
        <f>#REF!</f>
        <v>#REF!</v>
      </c>
      <c r="E6" s="126" t="s">
        <v>7</v>
      </c>
      <c r="F6" s="127"/>
      <c r="G6" s="128" t="s">
        <v>17</v>
      </c>
      <c r="H6" s="129">
        <v>159000</v>
      </c>
      <c r="I6" s="130"/>
    </row>
    <row r="7" spans="1:9" ht="16.5" customHeight="1">
      <c r="A7" s="116"/>
      <c r="B7" s="123" t="s">
        <v>18</v>
      </c>
      <c r="C7" s="124" t="s">
        <v>19</v>
      </c>
      <c r="D7" s="125" t="e">
        <f>#REF!</f>
        <v>#REF!</v>
      </c>
      <c r="E7" s="126" t="s">
        <v>7</v>
      </c>
      <c r="F7" s="127"/>
      <c r="G7" s="128" t="s">
        <v>20</v>
      </c>
      <c r="H7" s="129">
        <v>150000</v>
      </c>
      <c r="I7" s="130"/>
    </row>
    <row r="8" spans="1:9" ht="16.5" customHeight="1">
      <c r="A8" s="116"/>
      <c r="B8" s="123" t="s">
        <v>21</v>
      </c>
      <c r="C8" s="124" t="s">
        <v>22</v>
      </c>
      <c r="D8" s="125" t="e">
        <f>#REF!</f>
        <v>#REF!</v>
      </c>
      <c r="E8" s="126" t="s">
        <v>7</v>
      </c>
      <c r="F8" s="127"/>
      <c r="G8" s="128" t="s">
        <v>23</v>
      </c>
      <c r="H8" s="129">
        <f>(127-50)*33000*0.8</f>
        <v>2032800</v>
      </c>
      <c r="I8" s="161" t="s">
        <v>167</v>
      </c>
    </row>
    <row r="9" spans="1:9" ht="16.5" customHeight="1">
      <c r="A9" s="116"/>
      <c r="B9" s="123" t="s">
        <v>24</v>
      </c>
      <c r="C9" s="124" t="s">
        <v>25</v>
      </c>
      <c r="D9" s="125" t="e">
        <f>#REF!</f>
        <v>#REF!</v>
      </c>
      <c r="E9" s="126" t="s">
        <v>7</v>
      </c>
      <c r="F9" s="127"/>
      <c r="G9" s="131" t="s">
        <v>26</v>
      </c>
      <c r="H9" s="132">
        <f>SUM(H3:H8)</f>
        <v>4138050</v>
      </c>
      <c r="I9" s="133"/>
    </row>
    <row r="10" spans="1:9" ht="16.5" customHeight="1">
      <c r="A10" s="116"/>
      <c r="B10" s="123" t="s">
        <v>27</v>
      </c>
      <c r="C10" s="124" t="s">
        <v>28</v>
      </c>
      <c r="D10" s="125" t="e">
        <f>#REF!</f>
        <v>#REF!</v>
      </c>
      <c r="E10" s="125" t="s">
        <v>7</v>
      </c>
      <c r="F10" s="127"/>
    </row>
    <row r="11" spans="1:9" ht="16.5" customHeight="1">
      <c r="A11" s="116"/>
      <c r="B11" s="123" t="s">
        <v>29</v>
      </c>
      <c r="C11" s="124" t="s">
        <v>30</v>
      </c>
      <c r="D11" s="125" t="e">
        <f>#REF!</f>
        <v>#REF!</v>
      </c>
      <c r="E11" s="125" t="s">
        <v>7</v>
      </c>
      <c r="F11" s="127"/>
    </row>
    <row r="12" spans="1:9" ht="16.5" customHeight="1">
      <c r="A12" s="116"/>
      <c r="B12" s="123" t="s">
        <v>31</v>
      </c>
      <c r="C12" s="124" t="s">
        <v>32</v>
      </c>
      <c r="D12" s="125" t="e">
        <f>#REF!</f>
        <v>#REF!</v>
      </c>
      <c r="E12" s="125" t="s">
        <v>7</v>
      </c>
      <c r="F12" s="127"/>
      <c r="G12" s="184" t="s">
        <v>163</v>
      </c>
      <c r="H12" s="129">
        <f>50*33000</f>
        <v>1650000</v>
      </c>
    </row>
    <row r="13" spans="1:9" ht="16.5" customHeight="1">
      <c r="A13" s="188"/>
      <c r="B13" s="123" t="s">
        <v>33</v>
      </c>
      <c r="C13" s="124" t="s">
        <v>34</v>
      </c>
      <c r="D13" s="125" t="e">
        <f>#REF!</f>
        <v>#REF!</v>
      </c>
      <c r="E13" s="125" t="s">
        <v>7</v>
      </c>
      <c r="F13" s="127"/>
      <c r="G13" s="185"/>
      <c r="H13" s="129">
        <v>300000</v>
      </c>
    </row>
    <row r="14" spans="1:9" ht="16.5" customHeight="1">
      <c r="A14" s="189"/>
      <c r="B14" s="123" t="s">
        <v>33</v>
      </c>
      <c r="C14" s="124" t="s">
        <v>35</v>
      </c>
      <c r="D14" s="125" t="e">
        <f>#REF!</f>
        <v>#REF!</v>
      </c>
      <c r="E14" s="125" t="s">
        <v>7</v>
      </c>
      <c r="F14" s="127"/>
      <c r="G14" s="185"/>
      <c r="H14" s="129">
        <f>H12+H13</f>
        <v>1950000</v>
      </c>
      <c r="I14" s="160"/>
    </row>
    <row r="15" spans="1:9" ht="16.5" customHeight="1">
      <c r="A15" s="189"/>
      <c r="B15" s="123" t="s">
        <v>36</v>
      </c>
      <c r="C15" s="124" t="s">
        <v>37</v>
      </c>
      <c r="D15" s="125" t="e">
        <f>#REF!</f>
        <v>#REF!</v>
      </c>
      <c r="E15" s="125" t="s">
        <v>7</v>
      </c>
      <c r="F15" s="127"/>
    </row>
    <row r="16" spans="1:9" ht="16.5" customHeight="1">
      <c r="A16" s="116"/>
      <c r="B16" s="123" t="s">
        <v>38</v>
      </c>
      <c r="C16" s="124" t="s">
        <v>39</v>
      </c>
      <c r="D16" s="125" t="e">
        <f>#REF!</f>
        <v>#REF!</v>
      </c>
      <c r="E16" s="125" t="s">
        <v>7</v>
      </c>
      <c r="F16" s="127"/>
    </row>
    <row r="17" spans="1:8" ht="16.5" customHeight="1">
      <c r="A17" s="116"/>
      <c r="B17" s="123" t="s">
        <v>40</v>
      </c>
      <c r="C17" s="124" t="s">
        <v>41</v>
      </c>
      <c r="D17" s="125" t="e">
        <f>#REF!</f>
        <v>#REF!</v>
      </c>
      <c r="E17" s="125" t="s">
        <v>7</v>
      </c>
      <c r="F17" s="127"/>
    </row>
    <row r="18" spans="1:8" ht="16.5" customHeight="1">
      <c r="A18" s="116"/>
      <c r="B18" s="123" t="s">
        <v>42</v>
      </c>
      <c r="C18" s="124" t="s">
        <v>43</v>
      </c>
      <c r="D18" s="125" t="e">
        <f>#REF!</f>
        <v>#REF!</v>
      </c>
      <c r="E18" s="125" t="s">
        <v>7</v>
      </c>
      <c r="F18" s="127"/>
    </row>
    <row r="19" spans="1:8" ht="16.5" customHeight="1">
      <c r="A19" s="116"/>
      <c r="B19" s="123" t="s">
        <v>44</v>
      </c>
      <c r="C19" s="124" t="s">
        <v>45</v>
      </c>
      <c r="D19" s="125" t="e">
        <f>#REF!</f>
        <v>#REF!</v>
      </c>
      <c r="E19" s="125" t="s">
        <v>7</v>
      </c>
      <c r="F19" s="127"/>
    </row>
    <row r="20" spans="1:8" ht="16.5" customHeight="1">
      <c r="A20" s="116"/>
      <c r="B20" s="123" t="s">
        <v>46</v>
      </c>
      <c r="C20" s="124" t="s">
        <v>47</v>
      </c>
      <c r="D20" s="125" t="e">
        <f>#REF!</f>
        <v>#REF!</v>
      </c>
      <c r="E20" s="125" t="s">
        <v>7</v>
      </c>
      <c r="F20" s="127"/>
    </row>
    <row r="21" spans="1:8" ht="16.5" customHeight="1">
      <c r="A21" s="116"/>
      <c r="B21" s="123" t="s">
        <v>48</v>
      </c>
      <c r="C21" s="124" t="s">
        <v>49</v>
      </c>
      <c r="D21" s="125" t="e">
        <f>#REF!</f>
        <v>#REF!</v>
      </c>
      <c r="E21" s="125" t="s">
        <v>7</v>
      </c>
      <c r="F21" s="127"/>
    </row>
    <row r="22" spans="1:8" ht="16.5" customHeight="1">
      <c r="A22" s="116"/>
      <c r="B22" s="123" t="s">
        <v>50</v>
      </c>
      <c r="C22" s="124" t="s">
        <v>51</v>
      </c>
      <c r="D22" s="125" t="e">
        <f>#REF!</f>
        <v>#REF!</v>
      </c>
      <c r="E22" s="125" t="s">
        <v>7</v>
      </c>
      <c r="F22" s="127"/>
    </row>
    <row r="23" spans="1:8" ht="16.5" customHeight="1">
      <c r="A23" s="116"/>
      <c r="B23" s="127"/>
      <c r="C23" s="134"/>
      <c r="D23" s="125"/>
      <c r="E23" s="125"/>
      <c r="F23" s="127"/>
    </row>
    <row r="24" spans="1:8" ht="20.25" customHeight="1">
      <c r="A24" s="116"/>
      <c r="B24" s="127"/>
      <c r="C24" s="135" t="s">
        <v>52</v>
      </c>
      <c r="D24" s="136"/>
      <c r="E24" s="136"/>
      <c r="F24" s="137"/>
    </row>
    <row r="25" spans="1:8" ht="16.5" customHeight="1">
      <c r="A25" s="116"/>
      <c r="B25" s="127"/>
      <c r="C25" s="127"/>
      <c r="D25" s="127"/>
      <c r="E25" s="127"/>
      <c r="F25" s="127"/>
      <c r="G25" s="116"/>
      <c r="H25" s="116"/>
    </row>
    <row r="26" spans="1:8" ht="20.25" customHeight="1">
      <c r="A26" s="116"/>
      <c r="B26" s="127"/>
      <c r="C26" s="138" t="s">
        <v>53</v>
      </c>
      <c r="D26" s="186" t="e">
        <f>SUM(#REF!)</f>
        <v>#REF!</v>
      </c>
      <c r="E26" s="187"/>
      <c r="F26" s="139"/>
      <c r="G26" s="116"/>
      <c r="H26" s="116"/>
    </row>
    <row r="27" spans="1:8" ht="16.5" customHeight="1">
      <c r="A27" s="116"/>
      <c r="B27" s="127"/>
      <c r="C27" s="127"/>
      <c r="D27" s="127"/>
      <c r="E27" s="127"/>
      <c r="F27" s="127"/>
      <c r="G27" s="116"/>
      <c r="H27" s="116"/>
    </row>
    <row r="28" spans="1:8" ht="16.5" customHeight="1">
      <c r="A28" s="116"/>
      <c r="B28" s="116"/>
      <c r="C28" s="116"/>
      <c r="D28" s="116"/>
      <c r="E28" s="116"/>
      <c r="F28" s="116"/>
      <c r="G28" s="116"/>
      <c r="H28" s="116"/>
    </row>
    <row r="29" spans="1:8" ht="16.5" customHeight="1">
      <c r="A29" s="116"/>
      <c r="B29" s="116"/>
      <c r="C29" s="116"/>
      <c r="D29" s="116"/>
      <c r="E29" s="116"/>
      <c r="F29" s="116"/>
      <c r="G29" s="116"/>
      <c r="H29" s="116"/>
    </row>
    <row r="31" spans="1:8" ht="20.25" customHeight="1">
      <c r="A31" s="116"/>
      <c r="B31" s="140" t="s">
        <v>54</v>
      </c>
      <c r="C31" s="141">
        <v>45587</v>
      </c>
      <c r="D31" s="142"/>
      <c r="E31" s="142"/>
      <c r="F31" s="142"/>
      <c r="G31" s="116"/>
      <c r="H31" s="116"/>
    </row>
    <row r="32" spans="1:8" s="115" customFormat="1" ht="16.5" customHeight="1">
      <c r="A32" s="143"/>
      <c r="B32" s="143"/>
      <c r="C32" s="143"/>
      <c r="D32" s="143"/>
      <c r="E32" s="143"/>
      <c r="F32" s="143"/>
    </row>
    <row r="33" spans="1:6" ht="16.5" customHeight="1">
      <c r="A33" s="116"/>
      <c r="B33" s="144"/>
      <c r="C33" s="125"/>
      <c r="D33" s="126"/>
      <c r="E33" s="126"/>
      <c r="F33" s="127"/>
    </row>
    <row r="34" spans="1:6" ht="16.5" customHeight="1">
      <c r="A34" s="116"/>
      <c r="B34" s="117" t="s">
        <v>1</v>
      </c>
      <c r="C34" s="118" t="s">
        <v>2</v>
      </c>
      <c r="D34" s="118" t="s">
        <v>3</v>
      </c>
      <c r="E34" s="118" t="s">
        <v>4</v>
      </c>
      <c r="F34" s="119"/>
    </row>
    <row r="35" spans="1:6" ht="16.5" customHeight="1">
      <c r="A35" s="116"/>
      <c r="B35" s="123" t="s">
        <v>5</v>
      </c>
      <c r="C35" s="124" t="s">
        <v>6</v>
      </c>
      <c r="D35" s="125" t="e">
        <f>#REF!</f>
        <v>#REF!</v>
      </c>
      <c r="E35" s="125" t="s">
        <v>7</v>
      </c>
      <c r="F35" s="127"/>
    </row>
    <row r="36" spans="1:6" ht="16.5" customHeight="1">
      <c r="A36" s="116"/>
      <c r="B36" s="123" t="s">
        <v>9</v>
      </c>
      <c r="C36" s="124" t="s">
        <v>10</v>
      </c>
      <c r="D36" s="125" t="e">
        <f>#REF!</f>
        <v>#REF!</v>
      </c>
      <c r="E36" s="125" t="s">
        <v>7</v>
      </c>
      <c r="F36" s="127"/>
    </row>
    <row r="37" spans="1:6" ht="16.5" customHeight="1">
      <c r="A37" s="116"/>
      <c r="B37" s="123" t="s">
        <v>12</v>
      </c>
      <c r="C37" s="124" t="s">
        <v>13</v>
      </c>
      <c r="D37" s="125" t="e">
        <f>#REF!</f>
        <v>#REF!</v>
      </c>
      <c r="E37" s="125" t="s">
        <v>7</v>
      </c>
      <c r="F37" s="127"/>
    </row>
    <row r="38" spans="1:6" ht="16.5" customHeight="1">
      <c r="A38" s="116"/>
      <c r="B38" s="123" t="s">
        <v>15</v>
      </c>
      <c r="C38" s="124" t="s">
        <v>16</v>
      </c>
      <c r="D38" s="125" t="e">
        <f>#REF!</f>
        <v>#REF!</v>
      </c>
      <c r="E38" s="125" t="s">
        <v>7</v>
      </c>
      <c r="F38" s="127"/>
    </row>
    <row r="39" spans="1:6" ht="16.5" customHeight="1">
      <c r="A39" s="116"/>
      <c r="B39" s="123" t="s">
        <v>18</v>
      </c>
      <c r="C39" s="124" t="s">
        <v>19</v>
      </c>
      <c r="D39" s="125" t="e">
        <f>#REF!</f>
        <v>#REF!</v>
      </c>
      <c r="E39" s="125" t="s">
        <v>7</v>
      </c>
      <c r="F39" s="127"/>
    </row>
    <row r="40" spans="1:6" ht="16.5" customHeight="1">
      <c r="A40" s="116"/>
      <c r="B40" s="123" t="s">
        <v>21</v>
      </c>
      <c r="C40" s="124" t="s">
        <v>22</v>
      </c>
      <c r="D40" s="125" t="e">
        <f>#REF!</f>
        <v>#REF!</v>
      </c>
      <c r="E40" s="125" t="s">
        <v>7</v>
      </c>
      <c r="F40" s="127"/>
    </row>
    <row r="41" spans="1:6" ht="16.5" customHeight="1">
      <c r="A41" s="116"/>
      <c r="B41" s="123" t="s">
        <v>24</v>
      </c>
      <c r="C41" s="124" t="s">
        <v>25</v>
      </c>
      <c r="D41" s="125" t="e">
        <f>#REF!</f>
        <v>#REF!</v>
      </c>
      <c r="E41" s="125" t="s">
        <v>7</v>
      </c>
      <c r="F41" s="127"/>
    </row>
    <row r="42" spans="1:6" ht="16.5" customHeight="1">
      <c r="A42" s="116"/>
      <c r="B42" s="123" t="s">
        <v>27</v>
      </c>
      <c r="C42" s="124" t="s">
        <v>28</v>
      </c>
      <c r="D42" s="125" t="e">
        <f>#REF!</f>
        <v>#REF!</v>
      </c>
      <c r="E42" s="125" t="s">
        <v>7</v>
      </c>
      <c r="F42" s="127"/>
    </row>
    <row r="43" spans="1:6" ht="16.5" customHeight="1">
      <c r="A43" s="116"/>
      <c r="B43" s="123" t="s">
        <v>29</v>
      </c>
      <c r="C43" s="124" t="s">
        <v>30</v>
      </c>
      <c r="D43" s="125" t="e">
        <f>#REF!</f>
        <v>#REF!</v>
      </c>
      <c r="E43" s="125" t="s">
        <v>7</v>
      </c>
      <c r="F43" s="127"/>
    </row>
    <row r="44" spans="1:6" ht="16.5" customHeight="1">
      <c r="A44" s="116"/>
      <c r="B44" s="123" t="s">
        <v>31</v>
      </c>
      <c r="C44" s="124" t="s">
        <v>32</v>
      </c>
      <c r="D44" s="125" t="e">
        <f>#REF!</f>
        <v>#REF!</v>
      </c>
      <c r="E44" s="125" t="s">
        <v>7</v>
      </c>
      <c r="F44" s="127"/>
    </row>
    <row r="45" spans="1:6" ht="16.5" customHeight="1">
      <c r="A45" s="188"/>
      <c r="B45" s="123" t="s">
        <v>33</v>
      </c>
      <c r="C45" s="124" t="s">
        <v>34</v>
      </c>
      <c r="D45" s="125" t="e">
        <f>#REF!</f>
        <v>#REF!</v>
      </c>
      <c r="E45" s="125" t="s">
        <v>7</v>
      </c>
      <c r="F45" s="127"/>
    </row>
    <row r="46" spans="1:6" ht="16.5" customHeight="1">
      <c r="A46" s="189"/>
      <c r="B46" s="123" t="s">
        <v>33</v>
      </c>
      <c r="C46" s="124" t="s">
        <v>35</v>
      </c>
      <c r="D46" s="125" t="e">
        <f>#REF!</f>
        <v>#REF!</v>
      </c>
      <c r="E46" s="125" t="s">
        <v>7</v>
      </c>
      <c r="F46" s="127"/>
    </row>
    <row r="47" spans="1:6" ht="16.5" customHeight="1">
      <c r="A47" s="189"/>
      <c r="B47" s="123" t="s">
        <v>36</v>
      </c>
      <c r="C47" s="124" t="s">
        <v>37</v>
      </c>
      <c r="D47" s="125" t="e">
        <f>#REF!</f>
        <v>#REF!</v>
      </c>
      <c r="E47" s="125" t="s">
        <v>7</v>
      </c>
      <c r="F47" s="127"/>
    </row>
    <row r="48" spans="1:6" ht="16.5" customHeight="1">
      <c r="A48" s="116"/>
      <c r="B48" s="123" t="s">
        <v>38</v>
      </c>
      <c r="C48" s="124" t="s">
        <v>39</v>
      </c>
      <c r="D48" s="125" t="e">
        <f>#REF!</f>
        <v>#REF!</v>
      </c>
      <c r="E48" s="125" t="s">
        <v>7</v>
      </c>
      <c r="F48" s="127"/>
    </row>
    <row r="49" spans="1:8" ht="16.5" customHeight="1">
      <c r="A49" s="116"/>
      <c r="B49" s="123" t="s">
        <v>40</v>
      </c>
      <c r="C49" s="124" t="s">
        <v>41</v>
      </c>
      <c r="D49" s="125" t="e">
        <f>#REF!</f>
        <v>#REF!</v>
      </c>
      <c r="E49" s="125" t="s">
        <v>7</v>
      </c>
      <c r="F49" s="127"/>
    </row>
    <row r="50" spans="1:8" ht="16.5" customHeight="1">
      <c r="A50" s="116"/>
      <c r="B50" s="123" t="s">
        <v>42</v>
      </c>
      <c r="C50" s="124" t="s">
        <v>43</v>
      </c>
      <c r="D50" s="125" t="e">
        <f>#REF!</f>
        <v>#REF!</v>
      </c>
      <c r="E50" s="125" t="s">
        <v>7</v>
      </c>
      <c r="F50" s="127"/>
    </row>
    <row r="51" spans="1:8" ht="16.5" customHeight="1">
      <c r="A51" s="116"/>
      <c r="B51" s="123" t="s">
        <v>44</v>
      </c>
      <c r="C51" s="124" t="s">
        <v>45</v>
      </c>
      <c r="D51" s="125" t="e">
        <f>#REF!</f>
        <v>#REF!</v>
      </c>
      <c r="E51" s="125" t="s">
        <v>7</v>
      </c>
      <c r="F51" s="127"/>
    </row>
    <row r="52" spans="1:8" ht="16.5" customHeight="1">
      <c r="A52" s="116"/>
      <c r="B52" s="123" t="s">
        <v>46</v>
      </c>
      <c r="C52" s="124" t="s">
        <v>47</v>
      </c>
      <c r="D52" s="125" t="e">
        <f>#REF!</f>
        <v>#REF!</v>
      </c>
      <c r="E52" s="125" t="s">
        <v>7</v>
      </c>
      <c r="F52" s="127"/>
    </row>
    <row r="53" spans="1:8" ht="16.5" customHeight="1">
      <c r="A53" s="116"/>
      <c r="B53" s="123" t="s">
        <v>48</v>
      </c>
      <c r="C53" s="124" t="s">
        <v>49</v>
      </c>
      <c r="D53" s="125" t="e">
        <f>#REF!</f>
        <v>#REF!</v>
      </c>
      <c r="E53" s="125" t="s">
        <v>7</v>
      </c>
      <c r="F53" s="127"/>
    </row>
    <row r="54" spans="1:8" ht="16.5" customHeight="1">
      <c r="A54" s="116"/>
      <c r="B54" s="123" t="s">
        <v>50</v>
      </c>
      <c r="C54" s="124" t="s">
        <v>51</v>
      </c>
      <c r="D54" s="125" t="e">
        <f>#REF!</f>
        <v>#REF!</v>
      </c>
      <c r="E54" s="125" t="s">
        <v>7</v>
      </c>
      <c r="F54" s="127"/>
    </row>
    <row r="55" spans="1:8" ht="16.5" customHeight="1">
      <c r="A55" s="116"/>
      <c r="B55" s="127"/>
      <c r="C55" s="134"/>
      <c r="D55" s="125"/>
      <c r="E55" s="125"/>
      <c r="F55" s="127"/>
    </row>
    <row r="56" spans="1:8" ht="20.25" customHeight="1">
      <c r="A56" s="116"/>
      <c r="B56" s="127"/>
      <c r="C56" s="135" t="s">
        <v>52</v>
      </c>
      <c r="D56" s="136"/>
      <c r="E56" s="136"/>
      <c r="F56" s="137"/>
    </row>
    <row r="57" spans="1:8" ht="16.5" customHeight="1">
      <c r="A57" s="116"/>
      <c r="B57" s="127"/>
      <c r="C57" s="127"/>
      <c r="D57" s="127"/>
      <c r="E57" s="127"/>
      <c r="F57" s="127"/>
      <c r="G57" s="116"/>
      <c r="H57" s="116"/>
    </row>
    <row r="58" spans="1:8" ht="20.25" customHeight="1">
      <c r="A58" s="116"/>
      <c r="B58" s="127"/>
      <c r="C58" s="138" t="s">
        <v>53</v>
      </c>
      <c r="D58" s="186" t="e">
        <f>SUM(#REF!)</f>
        <v>#REF!</v>
      </c>
      <c r="E58" s="187"/>
      <c r="F58" s="139"/>
      <c r="G58" s="116"/>
      <c r="H58" s="116"/>
    </row>
    <row r="63" spans="1:8" ht="16.5" customHeight="1">
      <c r="A63" s="116"/>
      <c r="B63" s="116"/>
      <c r="C63" s="116"/>
      <c r="D63" s="116"/>
      <c r="E63" s="116"/>
      <c r="F63" s="116"/>
      <c r="G63" s="116"/>
      <c r="H63" s="116"/>
    </row>
    <row r="65" spans="1:8" ht="20.25" customHeight="1">
      <c r="A65" s="116"/>
      <c r="B65" s="140" t="s">
        <v>55</v>
      </c>
      <c r="C65" s="141">
        <v>45587</v>
      </c>
      <c r="D65" s="142"/>
      <c r="E65" s="142"/>
      <c r="F65" s="142"/>
      <c r="G65" s="116"/>
      <c r="H65" s="116"/>
    </row>
    <row r="66" spans="1:8" s="115" customFormat="1" ht="16.5" customHeight="1">
      <c r="A66" s="143"/>
      <c r="B66" s="143"/>
      <c r="C66" s="143"/>
      <c r="D66" s="143"/>
      <c r="E66" s="143"/>
      <c r="F66" s="143"/>
    </row>
    <row r="67" spans="1:8" ht="16.5" customHeight="1">
      <c r="A67" s="116"/>
      <c r="B67" s="144"/>
      <c r="C67" s="125"/>
      <c r="D67" s="126"/>
      <c r="E67" s="126"/>
      <c r="F67" s="127"/>
    </row>
    <row r="68" spans="1:8" ht="16.5" customHeight="1">
      <c r="A68" s="116"/>
      <c r="B68" s="117" t="s">
        <v>1</v>
      </c>
      <c r="C68" s="118" t="s">
        <v>2</v>
      </c>
      <c r="D68" s="118" t="s">
        <v>3</v>
      </c>
      <c r="E68" s="118" t="s">
        <v>4</v>
      </c>
      <c r="F68" s="119"/>
    </row>
    <row r="69" spans="1:8" ht="16.5" customHeight="1">
      <c r="A69" s="116"/>
      <c r="B69" s="123" t="s">
        <v>5</v>
      </c>
      <c r="C69" s="124" t="s">
        <v>6</v>
      </c>
      <c r="D69" s="125" t="e">
        <f>#REF!</f>
        <v>#REF!</v>
      </c>
      <c r="E69" s="125" t="s">
        <v>7</v>
      </c>
      <c r="F69" s="127"/>
    </row>
    <row r="70" spans="1:8" ht="16.5" customHeight="1">
      <c r="A70" s="116"/>
      <c r="B70" s="123" t="s">
        <v>9</v>
      </c>
      <c r="C70" s="124" t="s">
        <v>10</v>
      </c>
      <c r="D70" s="125" t="e">
        <f>#REF!</f>
        <v>#REF!</v>
      </c>
      <c r="E70" s="125" t="s">
        <v>7</v>
      </c>
      <c r="F70" s="127"/>
    </row>
    <row r="71" spans="1:8" ht="16.5" customHeight="1">
      <c r="A71" s="116"/>
      <c r="B71" s="123" t="s">
        <v>12</v>
      </c>
      <c r="C71" s="124" t="s">
        <v>13</v>
      </c>
      <c r="D71" s="125" t="e">
        <f>#REF!</f>
        <v>#REF!</v>
      </c>
      <c r="E71" s="125" t="s">
        <v>7</v>
      </c>
      <c r="F71" s="127"/>
    </row>
    <row r="72" spans="1:8" ht="16.5" customHeight="1">
      <c r="A72" s="116"/>
      <c r="B72" s="123" t="s">
        <v>15</v>
      </c>
      <c r="C72" s="124" t="s">
        <v>16</v>
      </c>
      <c r="D72" s="125" t="e">
        <f>#REF!</f>
        <v>#REF!</v>
      </c>
      <c r="E72" s="125" t="s">
        <v>7</v>
      </c>
      <c r="F72" s="127"/>
    </row>
    <row r="73" spans="1:8" ht="16.5" customHeight="1">
      <c r="A73" s="116"/>
      <c r="B73" s="123" t="s">
        <v>18</v>
      </c>
      <c r="C73" s="124" t="s">
        <v>19</v>
      </c>
      <c r="D73" s="125" t="e">
        <f>#REF!</f>
        <v>#REF!</v>
      </c>
      <c r="E73" s="125" t="s">
        <v>7</v>
      </c>
      <c r="F73" s="127"/>
    </row>
    <row r="74" spans="1:8" ht="16.5" customHeight="1">
      <c r="A74" s="116"/>
      <c r="B74" s="123" t="s">
        <v>21</v>
      </c>
      <c r="C74" s="124" t="s">
        <v>22</v>
      </c>
      <c r="D74" s="125" t="e">
        <f>#REF!</f>
        <v>#REF!</v>
      </c>
      <c r="E74" s="125" t="s">
        <v>7</v>
      </c>
      <c r="F74" s="127"/>
    </row>
    <row r="75" spans="1:8" ht="16.5" customHeight="1">
      <c r="A75" s="116"/>
      <c r="B75" s="123" t="s">
        <v>24</v>
      </c>
      <c r="C75" s="124" t="s">
        <v>25</v>
      </c>
      <c r="D75" s="125" t="e">
        <f>#REF!</f>
        <v>#REF!</v>
      </c>
      <c r="E75" s="125" t="s">
        <v>7</v>
      </c>
      <c r="F75" s="127"/>
    </row>
    <row r="76" spans="1:8" ht="16.5" customHeight="1">
      <c r="A76" s="116"/>
      <c r="B76" s="123" t="s">
        <v>27</v>
      </c>
      <c r="C76" s="124" t="s">
        <v>28</v>
      </c>
      <c r="D76" s="125" t="e">
        <f>#REF!</f>
        <v>#REF!</v>
      </c>
      <c r="E76" s="125" t="s">
        <v>7</v>
      </c>
      <c r="F76" s="127"/>
    </row>
    <row r="77" spans="1:8" ht="16.5" customHeight="1">
      <c r="A77" s="116"/>
      <c r="B77" s="123" t="s">
        <v>29</v>
      </c>
      <c r="C77" s="124" t="s">
        <v>30</v>
      </c>
      <c r="D77" s="125" t="e">
        <f>#REF!</f>
        <v>#REF!</v>
      </c>
      <c r="E77" s="125" t="s">
        <v>7</v>
      </c>
      <c r="F77" s="127"/>
    </row>
    <row r="78" spans="1:8" ht="16.5" customHeight="1">
      <c r="A78" s="116"/>
      <c r="B78" s="123" t="s">
        <v>31</v>
      </c>
      <c r="C78" s="124" t="s">
        <v>32</v>
      </c>
      <c r="D78" s="125" t="e">
        <f>#REF!</f>
        <v>#REF!</v>
      </c>
      <c r="E78" s="125" t="s">
        <v>7</v>
      </c>
      <c r="F78" s="127"/>
    </row>
    <row r="79" spans="1:8" ht="16.5" customHeight="1">
      <c r="A79" s="188"/>
      <c r="B79" s="123" t="s">
        <v>33</v>
      </c>
      <c r="C79" s="124" t="s">
        <v>34</v>
      </c>
      <c r="D79" s="125" t="e">
        <f>#REF!</f>
        <v>#REF!</v>
      </c>
      <c r="E79" s="125" t="s">
        <v>7</v>
      </c>
      <c r="F79" s="127"/>
    </row>
    <row r="80" spans="1:8" ht="16.5" customHeight="1">
      <c r="A80" s="189"/>
      <c r="B80" s="123" t="s">
        <v>33</v>
      </c>
      <c r="C80" s="124" t="s">
        <v>35</v>
      </c>
      <c r="D80" s="125" t="e">
        <f>#REF!</f>
        <v>#REF!</v>
      </c>
      <c r="E80" s="125" t="s">
        <v>7</v>
      </c>
      <c r="F80" s="127"/>
    </row>
    <row r="81" spans="1:8" ht="16.5" customHeight="1">
      <c r="A81" s="189"/>
      <c r="B81" s="123" t="s">
        <v>36</v>
      </c>
      <c r="C81" s="124" t="s">
        <v>37</v>
      </c>
      <c r="D81" s="125" t="e">
        <f>#REF!</f>
        <v>#REF!</v>
      </c>
      <c r="E81" s="125" t="s">
        <v>7</v>
      </c>
      <c r="F81" s="127"/>
    </row>
    <row r="82" spans="1:8" ht="16.5" customHeight="1">
      <c r="A82" s="116"/>
      <c r="B82" s="123" t="s">
        <v>38</v>
      </c>
      <c r="C82" s="124" t="s">
        <v>39</v>
      </c>
      <c r="D82" s="125" t="e">
        <f>#REF!</f>
        <v>#REF!</v>
      </c>
      <c r="E82" s="125" t="s">
        <v>7</v>
      </c>
      <c r="F82" s="127"/>
    </row>
    <row r="83" spans="1:8" ht="16.5" customHeight="1">
      <c r="A83" s="116"/>
      <c r="B83" s="123" t="s">
        <v>40</v>
      </c>
      <c r="C83" s="124" t="s">
        <v>41</v>
      </c>
      <c r="D83" s="125" t="e">
        <f>#REF!</f>
        <v>#REF!</v>
      </c>
      <c r="E83" s="125" t="s">
        <v>7</v>
      </c>
      <c r="F83" s="127"/>
    </row>
    <row r="84" spans="1:8" ht="16.5" customHeight="1">
      <c r="A84" s="116"/>
      <c r="B84" s="123" t="s">
        <v>42</v>
      </c>
      <c r="C84" s="124" t="s">
        <v>43</v>
      </c>
      <c r="D84" s="125" t="e">
        <f>#REF!</f>
        <v>#REF!</v>
      </c>
      <c r="E84" s="125" t="s">
        <v>7</v>
      </c>
      <c r="F84" s="127"/>
    </row>
    <row r="85" spans="1:8" ht="16.5" customHeight="1">
      <c r="A85" s="116"/>
      <c r="B85" s="123" t="s">
        <v>44</v>
      </c>
      <c r="C85" s="124" t="s">
        <v>45</v>
      </c>
      <c r="D85" s="125" t="e">
        <f>#REF!</f>
        <v>#REF!</v>
      </c>
      <c r="E85" s="125" t="s">
        <v>7</v>
      </c>
      <c r="F85" s="127"/>
    </row>
    <row r="86" spans="1:8" ht="16.5" customHeight="1">
      <c r="A86" s="116"/>
      <c r="B86" s="123" t="s">
        <v>46</v>
      </c>
      <c r="C86" s="124" t="s">
        <v>47</v>
      </c>
      <c r="D86" s="125" t="e">
        <f>#REF!</f>
        <v>#REF!</v>
      </c>
      <c r="E86" s="125" t="s">
        <v>7</v>
      </c>
      <c r="F86" s="127"/>
    </row>
    <row r="87" spans="1:8" ht="16.5" customHeight="1">
      <c r="A87" s="116"/>
      <c r="B87" s="123" t="s">
        <v>48</v>
      </c>
      <c r="C87" s="124" t="s">
        <v>49</v>
      </c>
      <c r="D87" s="125" t="e">
        <f>#REF!</f>
        <v>#REF!</v>
      </c>
      <c r="E87" s="125" t="s">
        <v>7</v>
      </c>
      <c r="F87" s="127"/>
    </row>
    <row r="88" spans="1:8" ht="16.5" customHeight="1">
      <c r="A88" s="116"/>
      <c r="B88" s="123" t="s">
        <v>50</v>
      </c>
      <c r="C88" s="124" t="s">
        <v>51</v>
      </c>
      <c r="D88" s="125" t="e">
        <f>#REF!</f>
        <v>#REF!</v>
      </c>
      <c r="E88" s="125" t="s">
        <v>7</v>
      </c>
      <c r="F88" s="127"/>
    </row>
    <row r="89" spans="1:8" ht="16.5" customHeight="1">
      <c r="A89" s="116"/>
      <c r="B89" s="127"/>
      <c r="C89" s="134"/>
      <c r="D89" s="125"/>
      <c r="E89" s="125"/>
      <c r="F89" s="127"/>
    </row>
    <row r="90" spans="1:8" ht="20.25" customHeight="1">
      <c r="A90" s="116"/>
      <c r="B90" s="127"/>
      <c r="C90" s="135" t="s">
        <v>52</v>
      </c>
      <c r="D90" s="136"/>
      <c r="E90" s="136"/>
      <c r="F90" s="137"/>
    </row>
    <row r="91" spans="1:8" ht="16.5" customHeight="1">
      <c r="A91" s="116"/>
      <c r="B91" s="127"/>
      <c r="C91" s="127"/>
      <c r="D91" s="127"/>
      <c r="E91" s="127"/>
      <c r="F91" s="127"/>
      <c r="G91" s="116"/>
      <c r="H91" s="116"/>
    </row>
    <row r="92" spans="1:8" ht="20.25" customHeight="1">
      <c r="A92" s="116"/>
      <c r="B92" s="127"/>
      <c r="C92" s="138" t="s">
        <v>53</v>
      </c>
      <c r="D92" s="186" t="e">
        <f>SUM(#REF!)</f>
        <v>#REF!</v>
      </c>
      <c r="E92" s="187"/>
      <c r="F92" s="139"/>
      <c r="G92" s="116"/>
      <c r="H92" s="116"/>
    </row>
  </sheetData>
  <mergeCells count="7">
    <mergeCell ref="G12:G14"/>
    <mergeCell ref="D26:E26"/>
    <mergeCell ref="D58:E58"/>
    <mergeCell ref="D92:E92"/>
    <mergeCell ref="A13:A15"/>
    <mergeCell ref="A45:A47"/>
    <mergeCell ref="A79:A81"/>
  </mergeCells>
  <phoneticPr fontId="3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3E0E-9738-4BBF-AFE4-C8202F0196C0}">
  <dimension ref="B2:C11"/>
  <sheetViews>
    <sheetView showGridLines="0" workbookViewId="0">
      <selection activeCell="B3" sqref="B3"/>
    </sheetView>
  </sheetViews>
  <sheetFormatPr defaultColWidth="8.9140625" defaultRowHeight="14"/>
  <cols>
    <col min="1" max="1" width="4" style="163" customWidth="1"/>
    <col min="2" max="2" width="36.75" style="163" customWidth="1"/>
    <col min="3" max="3" width="110.58203125" style="163" customWidth="1"/>
    <col min="4" max="16384" width="8.9140625" style="163"/>
  </cols>
  <sheetData>
    <row r="2" spans="2:3" ht="20">
      <c r="B2" s="162" t="s">
        <v>171</v>
      </c>
    </row>
    <row r="3" spans="2:3" ht="15">
      <c r="B3" s="164" t="s">
        <v>172</v>
      </c>
    </row>
    <row r="5" spans="2:3" ht="45" customHeight="1">
      <c r="B5" s="165" t="s">
        <v>173</v>
      </c>
      <c r="C5" s="166" t="s">
        <v>174</v>
      </c>
    </row>
    <row r="6" spans="2:3" ht="30" customHeight="1">
      <c r="B6" s="165" t="s">
        <v>175</v>
      </c>
      <c r="C6" s="166" t="s">
        <v>176</v>
      </c>
    </row>
    <row r="7" spans="2:3" ht="45" customHeight="1">
      <c r="B7" s="165" t="s">
        <v>177</v>
      </c>
      <c r="C7" s="166" t="s">
        <v>178</v>
      </c>
    </row>
    <row r="8" spans="2:3" ht="60" customHeight="1">
      <c r="B8" s="165" t="s">
        <v>179</v>
      </c>
      <c r="C8" s="166" t="s">
        <v>180</v>
      </c>
    </row>
    <row r="9" spans="2:3" ht="60" customHeight="1">
      <c r="B9" s="165" t="s">
        <v>181</v>
      </c>
      <c r="C9" s="166" t="s">
        <v>182</v>
      </c>
    </row>
    <row r="10" spans="2:3" ht="45" customHeight="1">
      <c r="B10" s="165" t="s">
        <v>183</v>
      </c>
      <c r="C10" s="166" t="s">
        <v>184</v>
      </c>
    </row>
    <row r="11" spans="2:3" ht="60" customHeight="1">
      <c r="B11" s="165" t="s">
        <v>185</v>
      </c>
      <c r="C11" s="166" t="s">
        <v>186</v>
      </c>
    </row>
  </sheetData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82F2-5B69-41C9-9EDA-D8E8D18B013C}">
  <dimension ref="B2:I35"/>
  <sheetViews>
    <sheetView showGridLines="0" topLeftCell="A6" workbookViewId="0">
      <selection activeCell="C23" sqref="C23"/>
    </sheetView>
  </sheetViews>
  <sheetFormatPr defaultColWidth="8.9140625" defaultRowHeight="14"/>
  <cols>
    <col min="1" max="1" width="4" style="163" customWidth="1"/>
    <col min="2" max="2" width="14.9140625" style="163" customWidth="1"/>
    <col min="3" max="3" width="15" style="163" customWidth="1"/>
    <col min="4" max="4" width="18.33203125" style="163" bestFit="1" customWidth="1"/>
    <col min="5" max="5" width="21.25" style="163" bestFit="1" customWidth="1"/>
    <col min="6" max="6" width="15" style="163" customWidth="1"/>
    <col min="7" max="7" width="18.33203125" style="163" bestFit="1" customWidth="1"/>
    <col min="8" max="8" width="13" style="163" customWidth="1"/>
    <col min="9" max="9" width="30" style="163" customWidth="1"/>
    <col min="10" max="16384" width="8.9140625" style="163"/>
  </cols>
  <sheetData>
    <row r="2" spans="2:9" ht="20">
      <c r="B2" s="162" t="s">
        <v>187</v>
      </c>
    </row>
    <row r="3" spans="2:9" ht="15">
      <c r="B3" s="164" t="s">
        <v>188</v>
      </c>
    </row>
    <row r="5" spans="2:9" ht="15">
      <c r="B5" s="167" t="s">
        <v>189</v>
      </c>
      <c r="C5" s="167" t="s">
        <v>190</v>
      </c>
      <c r="D5" s="167" t="s">
        <v>191</v>
      </c>
      <c r="E5" s="167" t="s">
        <v>192</v>
      </c>
      <c r="F5" s="167" t="s">
        <v>193</v>
      </c>
      <c r="G5" s="167" t="s">
        <v>194</v>
      </c>
      <c r="H5" s="167" t="s">
        <v>195</v>
      </c>
      <c r="I5" s="167" t="s">
        <v>0</v>
      </c>
    </row>
    <row r="6" spans="2:9" ht="15">
      <c r="B6" s="168" t="s">
        <v>196</v>
      </c>
      <c r="C6" s="168">
        <v>15430</v>
      </c>
      <c r="D6" s="168">
        <v>1.54</v>
      </c>
      <c r="E6" s="168" t="s">
        <v>197</v>
      </c>
      <c r="F6" s="168">
        <v>28116</v>
      </c>
      <c r="G6" s="168">
        <v>2.81</v>
      </c>
      <c r="H6" s="168" t="s">
        <v>197</v>
      </c>
      <c r="I6" s="166"/>
    </row>
    <row r="7" spans="2:9" ht="15">
      <c r="B7" s="169" t="s">
        <v>198</v>
      </c>
      <c r="C7" s="169">
        <v>17758</v>
      </c>
      <c r="D7" s="169">
        <v>1.78</v>
      </c>
      <c r="E7" s="169" t="s">
        <v>199</v>
      </c>
      <c r="F7" s="169">
        <v>36322</v>
      </c>
      <c r="G7" s="169">
        <v>3.63</v>
      </c>
      <c r="H7" s="169" t="s">
        <v>199</v>
      </c>
      <c r="I7" s="170" t="s">
        <v>137</v>
      </c>
    </row>
    <row r="8" spans="2:9" ht="15">
      <c r="B8" s="168" t="s">
        <v>200</v>
      </c>
      <c r="C8" s="168">
        <v>19411</v>
      </c>
      <c r="D8" s="168">
        <v>1.94</v>
      </c>
      <c r="E8" s="168" t="s">
        <v>201</v>
      </c>
      <c r="F8" s="168">
        <v>42944</v>
      </c>
      <c r="G8" s="168">
        <v>4.29</v>
      </c>
      <c r="H8" s="168" t="s">
        <v>201</v>
      </c>
      <c r="I8" s="166"/>
    </row>
    <row r="9" spans="2:9" ht="15">
      <c r="B9" s="169" t="s">
        <v>202</v>
      </c>
      <c r="C9" s="169">
        <v>20931</v>
      </c>
      <c r="D9" s="169">
        <v>2.09</v>
      </c>
      <c r="E9" s="169" t="s">
        <v>203</v>
      </c>
      <c r="F9" s="169">
        <v>48593</v>
      </c>
      <c r="G9" s="169">
        <v>4.8600000000000003</v>
      </c>
      <c r="H9" s="169" t="s">
        <v>203</v>
      </c>
      <c r="I9" s="170"/>
    </row>
    <row r="10" spans="2:9" ht="15">
      <c r="B10" s="168" t="s">
        <v>204</v>
      </c>
      <c r="C10" s="168">
        <v>22268</v>
      </c>
      <c r="D10" s="168">
        <v>2.23</v>
      </c>
      <c r="E10" s="168" t="s">
        <v>205</v>
      </c>
      <c r="F10" s="168">
        <v>53648</v>
      </c>
      <c r="G10" s="168">
        <v>5.36</v>
      </c>
      <c r="H10" s="168" t="s">
        <v>205</v>
      </c>
      <c r="I10" s="166"/>
    </row>
    <row r="11" spans="2:9" ht="15">
      <c r="B11" s="169" t="s">
        <v>206</v>
      </c>
      <c r="C11" s="169">
        <v>23562</v>
      </c>
      <c r="D11" s="169">
        <v>2.36</v>
      </c>
      <c r="E11" s="169" t="s">
        <v>207</v>
      </c>
      <c r="F11" s="169">
        <v>58418</v>
      </c>
      <c r="G11" s="169">
        <v>5.84</v>
      </c>
      <c r="H11" s="169" t="s">
        <v>207</v>
      </c>
      <c r="I11" s="170"/>
    </row>
    <row r="12" spans="2:9" ht="15">
      <c r="B12" s="168" t="s">
        <v>208</v>
      </c>
      <c r="C12" s="168">
        <v>24782</v>
      </c>
      <c r="D12" s="168">
        <v>2.48</v>
      </c>
      <c r="E12" s="168" t="s">
        <v>209</v>
      </c>
      <c r="F12" s="168">
        <v>63103</v>
      </c>
      <c r="G12" s="168">
        <v>6.31</v>
      </c>
      <c r="H12" s="168" t="s">
        <v>209</v>
      </c>
      <c r="I12" s="166"/>
    </row>
    <row r="13" spans="2:9" ht="15">
      <c r="B13" s="169" t="s">
        <v>210</v>
      </c>
      <c r="C13" s="169">
        <v>26015</v>
      </c>
      <c r="D13" s="169">
        <v>2.6</v>
      </c>
      <c r="E13" s="169" t="s">
        <v>211</v>
      </c>
      <c r="F13" s="169">
        <v>67490</v>
      </c>
      <c r="G13" s="169">
        <v>6.75</v>
      </c>
      <c r="H13" s="169" t="s">
        <v>211</v>
      </c>
      <c r="I13" s="170"/>
    </row>
    <row r="14" spans="2:9" ht="15">
      <c r="B14" s="168" t="s">
        <v>212</v>
      </c>
      <c r="C14" s="168">
        <v>27255</v>
      </c>
      <c r="D14" s="168">
        <v>2.73</v>
      </c>
      <c r="E14" s="168" t="s">
        <v>213</v>
      </c>
      <c r="F14" s="168">
        <v>72083</v>
      </c>
      <c r="G14" s="168">
        <v>7.21</v>
      </c>
      <c r="H14" s="168" t="s">
        <v>213</v>
      </c>
      <c r="I14" s="166"/>
    </row>
    <row r="15" spans="2:9" ht="15">
      <c r="B15" s="169" t="s">
        <v>214</v>
      </c>
      <c r="C15" s="169">
        <v>28551</v>
      </c>
      <c r="D15" s="169">
        <v>2.86</v>
      </c>
      <c r="E15" s="169" t="s">
        <v>215</v>
      </c>
      <c r="F15" s="169">
        <v>76488</v>
      </c>
      <c r="G15" s="169">
        <v>7.65</v>
      </c>
      <c r="H15" s="169" t="s">
        <v>215</v>
      </c>
      <c r="I15" s="170" t="s">
        <v>256</v>
      </c>
    </row>
    <row r="16" spans="2:9" ht="15">
      <c r="B16" s="168" t="s">
        <v>216</v>
      </c>
      <c r="C16" s="168">
        <v>29873</v>
      </c>
      <c r="D16" s="168">
        <v>2.99</v>
      </c>
      <c r="E16" s="168" t="s">
        <v>217</v>
      </c>
      <c r="F16" s="168">
        <v>81267</v>
      </c>
      <c r="G16" s="168">
        <v>8.1300000000000008</v>
      </c>
      <c r="H16" s="168" t="s">
        <v>217</v>
      </c>
      <c r="I16" s="166"/>
    </row>
    <row r="17" spans="2:9" ht="15">
      <c r="B17" s="169" t="s">
        <v>218</v>
      </c>
      <c r="C17" s="169">
        <v>31355</v>
      </c>
      <c r="D17" s="169">
        <v>3.14</v>
      </c>
      <c r="E17" s="169" t="s">
        <v>219</v>
      </c>
      <c r="F17" s="169">
        <v>86419</v>
      </c>
      <c r="G17" s="169">
        <v>8.64</v>
      </c>
      <c r="H17" s="169" t="s">
        <v>219</v>
      </c>
      <c r="I17" s="170"/>
    </row>
    <row r="18" spans="2:9" ht="15">
      <c r="B18" s="168" t="s">
        <v>220</v>
      </c>
      <c r="C18" s="168">
        <v>32883</v>
      </c>
      <c r="D18" s="168">
        <v>3.29</v>
      </c>
      <c r="E18" s="168" t="s">
        <v>221</v>
      </c>
      <c r="F18" s="168">
        <v>91892</v>
      </c>
      <c r="G18" s="168">
        <v>9.19</v>
      </c>
      <c r="H18" s="168" t="s">
        <v>221</v>
      </c>
      <c r="I18" s="166"/>
    </row>
    <row r="19" spans="2:9" ht="15">
      <c r="B19" s="169" t="s">
        <v>222</v>
      </c>
      <c r="C19" s="169">
        <v>34393</v>
      </c>
      <c r="D19" s="169">
        <v>3.44</v>
      </c>
      <c r="E19" s="169" t="s">
        <v>223</v>
      </c>
      <c r="F19" s="169">
        <v>98113</v>
      </c>
      <c r="G19" s="169">
        <v>9.81</v>
      </c>
      <c r="H19" s="169" t="s">
        <v>223</v>
      </c>
      <c r="I19" s="170"/>
    </row>
    <row r="20" spans="2:9" ht="15">
      <c r="B20" s="169" t="s">
        <v>224</v>
      </c>
      <c r="C20" s="169">
        <v>36273</v>
      </c>
      <c r="D20" s="169">
        <v>3.63</v>
      </c>
      <c r="E20" s="169" t="s">
        <v>225</v>
      </c>
      <c r="F20" s="169">
        <v>104938</v>
      </c>
      <c r="G20" s="169">
        <v>10.49</v>
      </c>
      <c r="H20" s="169" t="s">
        <v>225</v>
      </c>
      <c r="I20" s="170"/>
    </row>
    <row r="21" spans="2:9" ht="15">
      <c r="B21" s="169" t="s">
        <v>226</v>
      </c>
      <c r="C21" s="169">
        <v>38398</v>
      </c>
      <c r="D21" s="169">
        <v>3.84</v>
      </c>
      <c r="E21" s="169" t="s">
        <v>227</v>
      </c>
      <c r="F21" s="169">
        <v>113023</v>
      </c>
      <c r="G21" s="169">
        <v>11.3</v>
      </c>
      <c r="H21" s="169" t="s">
        <v>227</v>
      </c>
      <c r="I21" s="170"/>
    </row>
    <row r="22" spans="2:9" ht="15">
      <c r="B22" s="168" t="s">
        <v>228</v>
      </c>
      <c r="C22" s="168">
        <v>41006</v>
      </c>
      <c r="D22" s="168">
        <v>4.0999999999999996</v>
      </c>
      <c r="E22" s="168" t="s">
        <v>229</v>
      </c>
      <c r="F22" s="168">
        <v>122653</v>
      </c>
      <c r="G22" s="168">
        <v>12.27</v>
      </c>
      <c r="H22" s="168" t="s">
        <v>229</v>
      </c>
      <c r="I22" s="166"/>
    </row>
    <row r="23" spans="2:9" ht="15">
      <c r="B23" s="169" t="s">
        <v>230</v>
      </c>
      <c r="C23" s="169">
        <v>44567</v>
      </c>
      <c r="D23" s="169">
        <v>4.46</v>
      </c>
      <c r="E23" s="169" t="s">
        <v>231</v>
      </c>
      <c r="F23" s="169">
        <v>135879</v>
      </c>
      <c r="G23" s="169">
        <v>13.59</v>
      </c>
      <c r="H23" s="169" t="s">
        <v>231</v>
      </c>
      <c r="I23" s="170" t="s">
        <v>136</v>
      </c>
    </row>
    <row r="24" spans="2:9" ht="15">
      <c r="B24" s="168" t="s">
        <v>232</v>
      </c>
      <c r="C24" s="168">
        <v>50078</v>
      </c>
      <c r="D24" s="168">
        <v>5.01</v>
      </c>
      <c r="E24" s="168" t="s">
        <v>233</v>
      </c>
      <c r="F24" s="168">
        <v>158039</v>
      </c>
      <c r="G24" s="168">
        <v>15.8</v>
      </c>
      <c r="H24" s="168" t="s">
        <v>233</v>
      </c>
      <c r="I24" s="166"/>
    </row>
    <row r="26" spans="2:9" ht="16.5">
      <c r="B26" s="171" t="s">
        <v>234</v>
      </c>
    </row>
    <row r="27" spans="2:9" ht="15">
      <c r="B27" s="167" t="s">
        <v>235</v>
      </c>
      <c r="C27" s="167" t="s">
        <v>236</v>
      </c>
      <c r="D27" s="167" t="s">
        <v>237</v>
      </c>
    </row>
    <row r="28" spans="2:9" ht="30">
      <c r="B28" s="166" t="s">
        <v>238</v>
      </c>
      <c r="C28" s="172" t="s">
        <v>239</v>
      </c>
      <c r="D28" s="172" t="s">
        <v>240</v>
      </c>
    </row>
    <row r="29" spans="2:9" ht="30">
      <c r="B29" s="170" t="s">
        <v>241</v>
      </c>
      <c r="C29" s="173" t="s">
        <v>242</v>
      </c>
      <c r="D29" s="173" t="s">
        <v>243</v>
      </c>
    </row>
    <row r="30" spans="2:9" ht="30">
      <c r="B30" s="166" t="s">
        <v>244</v>
      </c>
      <c r="C30" s="172" t="s">
        <v>245</v>
      </c>
      <c r="D30" s="172" t="s">
        <v>246</v>
      </c>
    </row>
    <row r="31" spans="2:9" ht="15">
      <c r="B31" s="170" t="s">
        <v>247</v>
      </c>
      <c r="C31" s="169" t="s">
        <v>248</v>
      </c>
      <c r="D31" s="169" t="s">
        <v>249</v>
      </c>
    </row>
    <row r="32" spans="2:9" ht="30">
      <c r="B32" s="166" t="s">
        <v>250</v>
      </c>
      <c r="C32" s="168" t="s">
        <v>251</v>
      </c>
      <c r="D32" s="168" t="s">
        <v>252</v>
      </c>
    </row>
    <row r="33" spans="2:4" ht="15">
      <c r="B33" s="170" t="s">
        <v>253</v>
      </c>
      <c r="C33" s="169" t="s">
        <v>251</v>
      </c>
      <c r="D33" s="169" t="s">
        <v>254</v>
      </c>
    </row>
    <row r="35" spans="2:4" ht="14.5">
      <c r="B35" s="174" t="s">
        <v>255</v>
      </c>
    </row>
  </sheetData>
  <phoneticPr fontId="3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3"/>
  <sheetViews>
    <sheetView showGridLines="0" workbookViewId="0">
      <selection activeCell="F20" sqref="F20:F22"/>
    </sheetView>
  </sheetViews>
  <sheetFormatPr defaultColWidth="8.9140625" defaultRowHeight="14.5"/>
  <cols>
    <col min="1" max="1" width="4.75" style="80" customWidth="1"/>
    <col min="2" max="2" width="7.25" style="80" customWidth="1"/>
    <col min="3" max="3" width="12.6640625" style="80" customWidth="1"/>
    <col min="4" max="4" width="15.58203125" style="80" customWidth="1"/>
    <col min="5" max="5" width="58.25" style="80" bestFit="1" customWidth="1"/>
    <col min="6" max="6" width="50.75" style="80" customWidth="1"/>
    <col min="7" max="7" width="11.4140625" style="80" customWidth="1"/>
    <col min="8" max="9" width="9.75" style="80" customWidth="1"/>
    <col min="10" max="10" width="47.58203125" style="80" customWidth="1"/>
    <col min="11" max="11" width="4.75" style="80" customWidth="1"/>
    <col min="12" max="13" width="7.25" style="80" customWidth="1"/>
    <col min="14" max="14" width="8.6640625" style="80" customWidth="1"/>
    <col min="15" max="15" width="45.4140625" style="80" customWidth="1"/>
    <col min="16" max="16384" width="8.9140625" style="80"/>
  </cols>
  <sheetData>
    <row r="1" spans="2:8" ht="15" thickBot="1"/>
    <row r="2" spans="2:8">
      <c r="B2" s="97"/>
      <c r="C2" s="193" t="s">
        <v>138</v>
      </c>
      <c r="D2" s="194"/>
      <c r="E2" s="195"/>
    </row>
    <row r="3" spans="2:8">
      <c r="B3" s="98"/>
      <c r="C3" s="99" t="s">
        <v>134</v>
      </c>
      <c r="D3" s="99" t="s">
        <v>135</v>
      </c>
      <c r="E3" s="100" t="s">
        <v>56</v>
      </c>
      <c r="G3" s="101"/>
      <c r="H3" s="101"/>
    </row>
    <row r="4" spans="2:8">
      <c r="B4" s="98" t="s">
        <v>57</v>
      </c>
      <c r="C4" s="102">
        <f>D4*12</f>
        <v>28800</v>
      </c>
      <c r="D4" s="102">
        <v>2400</v>
      </c>
      <c r="E4" s="191" t="s">
        <v>168</v>
      </c>
      <c r="F4" s="190" t="s">
        <v>164</v>
      </c>
      <c r="G4" s="103"/>
      <c r="H4" s="103"/>
    </row>
    <row r="5" spans="2:8">
      <c r="B5" s="98" t="s">
        <v>58</v>
      </c>
      <c r="C5" s="102">
        <f t="shared" ref="C5:C6" si="0">D5*12</f>
        <v>28800</v>
      </c>
      <c r="D5" s="102">
        <v>2400</v>
      </c>
      <c r="E5" s="192"/>
      <c r="F5" s="190"/>
      <c r="G5" s="103"/>
      <c r="H5" s="103"/>
    </row>
    <row r="6" spans="2:8">
      <c r="B6" s="98" t="s">
        <v>59</v>
      </c>
      <c r="C6" s="102">
        <f t="shared" si="0"/>
        <v>28800</v>
      </c>
      <c r="D6" s="102">
        <v>2400</v>
      </c>
      <c r="E6" s="192"/>
      <c r="F6" s="190"/>
      <c r="G6" s="103"/>
      <c r="H6" s="103"/>
    </row>
    <row r="7" spans="2:8" ht="15" thickBot="1">
      <c r="B7" s="104" t="s">
        <v>60</v>
      </c>
      <c r="C7" s="105">
        <f>SUM(C4:C6)</f>
        <v>86400</v>
      </c>
      <c r="D7" s="105"/>
      <c r="E7" s="106"/>
    </row>
    <row r="9" spans="2:8" ht="15" thickBot="1"/>
    <row r="10" spans="2:8">
      <c r="B10" s="97"/>
      <c r="C10" s="193" t="s">
        <v>136</v>
      </c>
      <c r="D10" s="194"/>
      <c r="E10" s="195"/>
    </row>
    <row r="11" spans="2:8">
      <c r="B11" s="107"/>
      <c r="C11" s="99" t="s">
        <v>134</v>
      </c>
      <c r="D11" s="99" t="s">
        <v>135</v>
      </c>
      <c r="E11" s="108" t="s">
        <v>56</v>
      </c>
      <c r="G11" s="101"/>
      <c r="H11" s="101"/>
    </row>
    <row r="12" spans="2:8">
      <c r="B12" s="109" t="s">
        <v>57</v>
      </c>
      <c r="C12" s="102">
        <f>D12*12</f>
        <v>44400</v>
      </c>
      <c r="D12" s="102">
        <v>3700</v>
      </c>
      <c r="E12" s="191" t="s">
        <v>169</v>
      </c>
      <c r="F12" s="190" t="s">
        <v>166</v>
      </c>
      <c r="G12" s="110"/>
      <c r="H12" s="103"/>
    </row>
    <row r="13" spans="2:8">
      <c r="B13" s="107" t="s">
        <v>58</v>
      </c>
      <c r="C13" s="102">
        <f t="shared" ref="C13:C14" si="1">D13*12</f>
        <v>44400</v>
      </c>
      <c r="D13" s="102">
        <v>3700</v>
      </c>
      <c r="E13" s="192"/>
      <c r="F13" s="190"/>
      <c r="G13" s="110"/>
      <c r="H13" s="103"/>
    </row>
    <row r="14" spans="2:8">
      <c r="B14" s="109" t="s">
        <v>59</v>
      </c>
      <c r="C14" s="102">
        <f t="shared" si="1"/>
        <v>44400</v>
      </c>
      <c r="D14" s="102">
        <v>3700</v>
      </c>
      <c r="E14" s="192"/>
      <c r="F14" s="190"/>
      <c r="G14" s="110"/>
      <c r="H14" s="103"/>
    </row>
    <row r="15" spans="2:8" ht="15" thickBot="1">
      <c r="B15" s="111" t="s">
        <v>60</v>
      </c>
      <c r="C15" s="105">
        <f>SUM(C12:C14)</f>
        <v>133200</v>
      </c>
      <c r="D15" s="112"/>
      <c r="E15" s="113"/>
    </row>
    <row r="17" spans="2:8" ht="15" thickBot="1"/>
    <row r="18" spans="2:8">
      <c r="B18" s="97"/>
      <c r="C18" s="193" t="s">
        <v>137</v>
      </c>
      <c r="D18" s="194"/>
      <c r="E18" s="195"/>
    </row>
    <row r="19" spans="2:8">
      <c r="B19" s="98"/>
      <c r="C19" s="99" t="s">
        <v>134</v>
      </c>
      <c r="D19" s="99" t="s">
        <v>135</v>
      </c>
      <c r="E19" s="114" t="s">
        <v>56</v>
      </c>
      <c r="G19" s="101"/>
      <c r="H19" s="101"/>
    </row>
    <row r="20" spans="2:8">
      <c r="B20" s="98" t="s">
        <v>57</v>
      </c>
      <c r="C20" s="102">
        <f>D20*12</f>
        <v>18000</v>
      </c>
      <c r="D20" s="102">
        <v>1500</v>
      </c>
      <c r="E20" s="191" t="s">
        <v>170</v>
      </c>
      <c r="F20" s="190" t="s">
        <v>165</v>
      </c>
      <c r="G20" s="110"/>
      <c r="H20" s="103"/>
    </row>
    <row r="21" spans="2:8">
      <c r="B21" s="98" t="s">
        <v>58</v>
      </c>
      <c r="C21" s="102">
        <f t="shared" ref="C21:C22" si="2">D21*12</f>
        <v>18000</v>
      </c>
      <c r="D21" s="102">
        <v>1500</v>
      </c>
      <c r="E21" s="192"/>
      <c r="F21" s="190"/>
      <c r="G21" s="110"/>
      <c r="H21" s="103"/>
    </row>
    <row r="22" spans="2:8">
      <c r="B22" s="98" t="s">
        <v>59</v>
      </c>
      <c r="C22" s="102">
        <f t="shared" si="2"/>
        <v>18000</v>
      </c>
      <c r="D22" s="102">
        <v>1500</v>
      </c>
      <c r="E22" s="192"/>
      <c r="F22" s="190"/>
      <c r="G22" s="110"/>
      <c r="H22" s="103"/>
    </row>
    <row r="23" spans="2:8" ht="15" thickBot="1">
      <c r="B23" s="104" t="s">
        <v>60</v>
      </c>
      <c r="C23" s="105">
        <f>SUM(C20:C22)</f>
        <v>54000</v>
      </c>
      <c r="D23" s="105"/>
      <c r="E23" s="113"/>
    </row>
  </sheetData>
  <mergeCells count="9">
    <mergeCell ref="F20:F22"/>
    <mergeCell ref="E20:E22"/>
    <mergeCell ref="E4:E6"/>
    <mergeCell ref="E12:E14"/>
    <mergeCell ref="C2:E2"/>
    <mergeCell ref="C10:E10"/>
    <mergeCell ref="C18:E18"/>
    <mergeCell ref="F4:F6"/>
    <mergeCell ref="F12:F14"/>
  </mergeCells>
  <phoneticPr fontId="3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8"/>
  <sheetViews>
    <sheetView zoomScaleNormal="100" workbookViewId="0">
      <selection activeCell="C8" sqref="C8"/>
    </sheetView>
  </sheetViews>
  <sheetFormatPr defaultColWidth="8.9140625" defaultRowHeight="14.5"/>
  <cols>
    <col min="1" max="1" width="8.9140625" style="80"/>
    <col min="2" max="2" width="25.58203125" style="80" customWidth="1"/>
    <col min="3" max="4" width="13.08203125" style="80" customWidth="1"/>
    <col min="5" max="5" width="11.08203125" style="80" bestFit="1" customWidth="1"/>
    <col min="6" max="6" width="13.08203125" style="80" bestFit="1" customWidth="1"/>
    <col min="7" max="7" width="11.08203125" style="80" bestFit="1" customWidth="1"/>
    <col min="8" max="8" width="13.08203125" style="80" bestFit="1" customWidth="1"/>
    <col min="9" max="16384" width="8.9140625" style="80"/>
  </cols>
  <sheetData>
    <row r="1" spans="2:8">
      <c r="C1" s="81"/>
      <c r="D1" s="82"/>
    </row>
    <row r="2" spans="2:8">
      <c r="C2" s="196" t="s">
        <v>137</v>
      </c>
      <c r="D2" s="196"/>
      <c r="E2" s="196" t="s">
        <v>138</v>
      </c>
      <c r="F2" s="196"/>
      <c r="G2" s="196" t="s">
        <v>136</v>
      </c>
      <c r="H2" s="196"/>
    </row>
    <row r="3" spans="2:8" ht="15" thickBot="1">
      <c r="C3" s="80" t="s">
        <v>61</v>
      </c>
      <c r="D3" s="80" t="s">
        <v>62</v>
      </c>
      <c r="E3" s="80" t="s">
        <v>61</v>
      </c>
      <c r="F3" s="80" t="s">
        <v>62</v>
      </c>
      <c r="G3" s="80" t="s">
        <v>61</v>
      </c>
      <c r="H3" s="80" t="s">
        <v>62</v>
      </c>
    </row>
    <row r="4" spans="2:8">
      <c r="B4" s="83" t="s">
        <v>63</v>
      </c>
      <c r="C4" s="84">
        <v>250</v>
      </c>
      <c r="D4" s="85">
        <f t="shared" ref="D4:D8" si="0">C4/1.13</f>
        <v>221.23893805309737</v>
      </c>
      <c r="E4" s="84">
        <v>250</v>
      </c>
      <c r="F4" s="85">
        <f t="shared" ref="F4" si="1">E4/1.13</f>
        <v>221.23893805309737</v>
      </c>
      <c r="G4" s="84">
        <v>250</v>
      </c>
      <c r="H4" s="85">
        <f t="shared" ref="H4" si="2">G4/1.13</f>
        <v>221.23893805309737</v>
      </c>
    </row>
    <row r="5" spans="2:8">
      <c r="B5" s="83" t="s">
        <v>139</v>
      </c>
      <c r="C5" s="86">
        <v>0.57999999999999996</v>
      </c>
      <c r="D5" s="87">
        <f t="shared" ref="D5" si="3">C5/1.09</f>
        <v>0.53211009174311918</v>
      </c>
      <c r="E5" s="86">
        <v>0.57999999999999996</v>
      </c>
      <c r="F5" s="87">
        <f t="shared" ref="F5" si="4">E5/1.09</f>
        <v>0.53211009174311918</v>
      </c>
      <c r="G5" s="86">
        <v>0.57999999999999996</v>
      </c>
      <c r="H5" s="87">
        <f t="shared" ref="H5" si="5">G5/1.09</f>
        <v>0.53211009174311918</v>
      </c>
    </row>
    <row r="6" spans="2:8" hidden="1">
      <c r="B6" s="83" t="s">
        <v>64</v>
      </c>
      <c r="C6" s="86">
        <f>'Worst Secnario'!F7</f>
        <v>73.055555555555557</v>
      </c>
      <c r="D6" s="87">
        <f t="shared" si="0"/>
        <v>64.650934119960681</v>
      </c>
      <c r="E6" s="86">
        <f>'Normal Secnario'!F7</f>
        <v>45.659722222222221</v>
      </c>
      <c r="F6" s="87">
        <f t="shared" ref="F6" si="6">E6/1.13</f>
        <v>40.406833824975422</v>
      </c>
      <c r="G6" s="86">
        <f>'Best Secnario'!F7</f>
        <v>29.617117117117118</v>
      </c>
      <c r="H6" s="87">
        <f t="shared" ref="H6" si="7">G6/1.13</f>
        <v>26.209838156740815</v>
      </c>
    </row>
    <row r="7" spans="2:8">
      <c r="B7" s="83"/>
      <c r="C7" s="88"/>
      <c r="D7" s="89"/>
      <c r="E7" s="88"/>
      <c r="F7" s="89"/>
      <c r="G7" s="88"/>
      <c r="H7" s="89"/>
    </row>
    <row r="8" spans="2:8">
      <c r="B8" s="83" t="s">
        <v>140</v>
      </c>
      <c r="C8" s="86">
        <v>599</v>
      </c>
      <c r="D8" s="87">
        <f t="shared" si="0"/>
        <v>530.08849557522126</v>
      </c>
      <c r="E8" s="86">
        <v>599</v>
      </c>
      <c r="F8" s="87">
        <f t="shared" ref="F8" si="8">E8/1.13</f>
        <v>530.08849557522126</v>
      </c>
      <c r="G8" s="86">
        <v>599</v>
      </c>
      <c r="H8" s="87">
        <f t="shared" ref="H8" si="9">G8/1.13</f>
        <v>530.08849557522126</v>
      </c>
    </row>
    <row r="9" spans="2:8">
      <c r="B9" s="83" t="s">
        <v>257</v>
      </c>
      <c r="C9" s="92">
        <v>0.65</v>
      </c>
      <c r="D9" s="87"/>
      <c r="E9" s="92">
        <v>0.65</v>
      </c>
      <c r="F9" s="87"/>
      <c r="G9" s="92">
        <v>0.65</v>
      </c>
      <c r="H9" s="87"/>
    </row>
    <row r="10" spans="2:8">
      <c r="B10" s="83" t="s">
        <v>258</v>
      </c>
      <c r="C10" s="92">
        <v>0.85</v>
      </c>
      <c r="D10" s="87"/>
      <c r="E10" s="92">
        <v>0.85</v>
      </c>
      <c r="F10" s="87"/>
      <c r="G10" s="92">
        <v>0.85</v>
      </c>
      <c r="H10" s="87"/>
    </row>
    <row r="11" spans="2:8">
      <c r="B11" s="83" t="s">
        <v>65</v>
      </c>
      <c r="C11" s="92">
        <v>0.3</v>
      </c>
      <c r="D11" s="93"/>
      <c r="E11" s="92">
        <v>0.3</v>
      </c>
      <c r="F11" s="93"/>
      <c r="G11" s="92">
        <v>0.3</v>
      </c>
      <c r="H11" s="93"/>
    </row>
    <row r="12" spans="2:8">
      <c r="B12" s="83" t="s">
        <v>66</v>
      </c>
      <c r="C12" s="92">
        <v>0.75</v>
      </c>
      <c r="D12" s="93"/>
      <c r="E12" s="92">
        <v>0.75</v>
      </c>
      <c r="F12" s="93"/>
      <c r="G12" s="92">
        <v>0.75</v>
      </c>
      <c r="H12" s="93"/>
    </row>
    <row r="13" spans="2:8">
      <c r="B13" s="83" t="s">
        <v>67</v>
      </c>
      <c r="C13" s="92">
        <v>0.05</v>
      </c>
      <c r="D13" s="93"/>
      <c r="E13" s="92">
        <v>0.05</v>
      </c>
      <c r="F13" s="93"/>
      <c r="G13" s="92">
        <v>0.05</v>
      </c>
      <c r="H13" s="93"/>
    </row>
    <row r="14" spans="2:8">
      <c r="B14" s="83" t="s">
        <v>68</v>
      </c>
      <c r="C14" s="92">
        <v>0.72</v>
      </c>
      <c r="D14" s="93"/>
      <c r="E14" s="92">
        <v>0.72</v>
      </c>
      <c r="F14" s="93"/>
      <c r="G14" s="92">
        <v>0.72</v>
      </c>
      <c r="H14" s="93"/>
    </row>
    <row r="15" spans="2:8">
      <c r="B15" s="83" t="s">
        <v>141</v>
      </c>
      <c r="C15" s="91">
        <f>C8*C11*C12+C8*C13*C14+C8*C9*C10</f>
        <v>487.28649999999993</v>
      </c>
      <c r="D15" s="87">
        <f>C15/1.13</f>
        <v>431.22699115044247</v>
      </c>
      <c r="E15" s="91">
        <f>E8*E11*E12+E8*E13*E14+E8*E9*E10</f>
        <v>487.28649999999993</v>
      </c>
      <c r="F15" s="87">
        <f>E15/1.13</f>
        <v>431.22699115044247</v>
      </c>
      <c r="G15" s="91">
        <f>G8*G11*G12+G8*G13*G14+G8*G9*G10</f>
        <v>487.28649999999993</v>
      </c>
      <c r="H15" s="87">
        <f>G15/1.13</f>
        <v>431.22699115044247</v>
      </c>
    </row>
    <row r="16" spans="2:8">
      <c r="B16" s="83" t="s">
        <v>142</v>
      </c>
      <c r="C16" s="90">
        <f>C15-C4-C5-C6</f>
        <v>163.65094444444435</v>
      </c>
      <c r="D16" s="87"/>
      <c r="E16" s="90">
        <f>E15-E4-E5-E6</f>
        <v>191.04677777777769</v>
      </c>
      <c r="F16" s="87"/>
      <c r="G16" s="90">
        <f>G15-G4-G5-G6</f>
        <v>207.0893828828828</v>
      </c>
      <c r="H16" s="87"/>
    </row>
    <row r="17" spans="2:8" ht="15" thickBot="1">
      <c r="B17" s="94" t="s">
        <v>143</v>
      </c>
      <c r="C17" s="95">
        <f t="shared" ref="C17:E17" si="10">C16/C15</f>
        <v>0.33584132629252889</v>
      </c>
      <c r="D17" s="96"/>
      <c r="E17" s="95">
        <f t="shared" si="10"/>
        <v>0.39206252949297327</v>
      </c>
      <c r="F17" s="96"/>
      <c r="G17" s="95">
        <f t="shared" ref="G17" si="11">G16/G15</f>
        <v>0.42498485569143168</v>
      </c>
      <c r="H17" s="96"/>
    </row>
    <row r="18" spans="2:8" ht="15" thickTop="1">
      <c r="C18" s="146"/>
      <c r="D18" s="146"/>
      <c r="E18" s="146"/>
      <c r="F18" s="146"/>
      <c r="G18" s="146"/>
      <c r="H18" s="146"/>
    </row>
  </sheetData>
  <mergeCells count="3">
    <mergeCell ref="C2:D2"/>
    <mergeCell ref="E2:F2"/>
    <mergeCell ref="G2:H2"/>
  </mergeCells>
  <phoneticPr fontId="3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EDF4-CAC1-4AE7-817B-4281D95881C4}">
  <dimension ref="B2:F12"/>
  <sheetViews>
    <sheetView workbookViewId="0">
      <selection activeCell="E16" sqref="E16"/>
    </sheetView>
  </sheetViews>
  <sheetFormatPr defaultRowHeight="14"/>
  <cols>
    <col min="2" max="4" width="10.75" customWidth="1"/>
    <col min="5" max="6" width="32.75" customWidth="1"/>
  </cols>
  <sheetData>
    <row r="2" spans="2:6" ht="14.5" thickBot="1">
      <c r="B2" s="147"/>
    </row>
    <row r="3" spans="2:6" ht="16.5">
      <c r="B3" s="148" t="s">
        <v>154</v>
      </c>
      <c r="C3" s="149" t="s">
        <v>155</v>
      </c>
      <c r="D3" s="149" t="s">
        <v>156</v>
      </c>
      <c r="E3" s="149" t="s">
        <v>157</v>
      </c>
      <c r="F3" s="150" t="s">
        <v>158</v>
      </c>
    </row>
    <row r="4" spans="2:6" ht="16.5">
      <c r="B4" s="151">
        <v>499</v>
      </c>
      <c r="C4" s="152">
        <v>408</v>
      </c>
      <c r="D4" s="153" t="s">
        <v>145</v>
      </c>
      <c r="E4" s="152" t="s">
        <v>146</v>
      </c>
      <c r="F4" s="154" t="s">
        <v>147</v>
      </c>
    </row>
    <row r="5" spans="2:6" ht="16.5">
      <c r="B5" s="155">
        <v>599</v>
      </c>
      <c r="C5" s="152">
        <v>490</v>
      </c>
      <c r="D5" s="153" t="s">
        <v>148</v>
      </c>
      <c r="E5" s="152" t="s">
        <v>149</v>
      </c>
      <c r="F5" s="156" t="s">
        <v>150</v>
      </c>
    </row>
    <row r="6" spans="2:6" ht="17" thickBot="1">
      <c r="B6" s="157">
        <v>649</v>
      </c>
      <c r="C6" s="158">
        <v>532</v>
      </c>
      <c r="D6" s="158" t="s">
        <v>151</v>
      </c>
      <c r="E6" s="158" t="s">
        <v>152</v>
      </c>
      <c r="F6" s="159" t="s">
        <v>153</v>
      </c>
    </row>
    <row r="9" spans="2:6" ht="50.4" customHeight="1">
      <c r="B9" s="197" t="s">
        <v>160</v>
      </c>
      <c r="C9" s="197"/>
      <c r="D9" s="197"/>
      <c r="E9" s="197"/>
      <c r="F9" s="197"/>
    </row>
    <row r="10" spans="2:6" ht="33.65" customHeight="1">
      <c r="B10" s="198" t="s">
        <v>159</v>
      </c>
      <c r="C10" s="197"/>
      <c r="D10" s="197"/>
      <c r="E10" s="197"/>
      <c r="F10" s="197"/>
    </row>
    <row r="11" spans="2:6" ht="33.65" customHeight="1">
      <c r="B11" s="198" t="s">
        <v>162</v>
      </c>
      <c r="C11" s="197"/>
      <c r="D11" s="197"/>
      <c r="E11" s="197"/>
      <c r="F11" s="197"/>
    </row>
    <row r="12" spans="2:6" ht="50.4" customHeight="1">
      <c r="B12" s="198" t="s">
        <v>161</v>
      </c>
      <c r="C12" s="197"/>
      <c r="D12" s="197"/>
      <c r="E12" s="197"/>
      <c r="F12" s="197"/>
    </row>
  </sheetData>
  <mergeCells count="4">
    <mergeCell ref="B9:F9"/>
    <mergeCell ref="B10:F10"/>
    <mergeCell ref="B11:F11"/>
    <mergeCell ref="B12:F12"/>
  </mergeCells>
  <phoneticPr fontId="3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8"/>
  <sheetViews>
    <sheetView tabSelected="1" zoomScale="80" zoomScaleNormal="80" workbookViewId="0">
      <selection activeCell="E32" sqref="E32"/>
    </sheetView>
  </sheetViews>
  <sheetFormatPr defaultColWidth="10.9140625" defaultRowHeight="14.5"/>
  <cols>
    <col min="1" max="1" width="4.75" style="4" customWidth="1"/>
    <col min="2" max="2" width="27.75" style="4" customWidth="1"/>
    <col min="3" max="3" width="18" style="4" customWidth="1"/>
    <col min="4" max="4" width="4.75" style="4" customWidth="1"/>
    <col min="5" max="5" width="29.75" style="4" customWidth="1"/>
    <col min="6" max="6" width="23.33203125" style="4" customWidth="1"/>
    <col min="7" max="8" width="20.08203125" style="4" customWidth="1"/>
    <col min="9" max="9" width="17.9140625" style="4" customWidth="1"/>
    <col min="10" max="10" width="18.6640625" style="4" customWidth="1"/>
    <col min="11" max="11" width="17.9140625" style="4" customWidth="1"/>
    <col min="12" max="12" width="4.75" style="4" customWidth="1"/>
    <col min="13" max="13" width="16.75" style="4" customWidth="1"/>
    <col min="14" max="14" width="18.4140625" style="4" bestFit="1" customWidth="1"/>
    <col min="15" max="15" width="20.08203125" style="4" customWidth="1"/>
    <col min="16" max="16" width="31.58203125" style="4" customWidth="1"/>
    <col min="17" max="16384" width="10.9140625" style="4"/>
  </cols>
  <sheetData>
    <row r="1" spans="2:26" s="1" customFormat="1" ht="20">
      <c r="B1" s="175" t="s">
        <v>69</v>
      </c>
      <c r="C1" s="175"/>
    </row>
    <row r="2" spans="2:26" s="1" customFormat="1"/>
    <row r="3" spans="2:26" s="1" customFormat="1" ht="16.5">
      <c r="B3" s="5" t="s">
        <v>8</v>
      </c>
      <c r="C3" s="6">
        <f>Budget!H3</f>
        <v>600000</v>
      </c>
      <c r="E3" s="4"/>
      <c r="F3" s="176" t="s">
        <v>70</v>
      </c>
      <c r="G3" s="177"/>
      <c r="H3" s="178" t="s">
        <v>71</v>
      </c>
      <c r="I3" s="179"/>
      <c r="J3" s="180" t="s">
        <v>72</v>
      </c>
      <c r="K3" s="181"/>
      <c r="M3" s="182" t="s">
        <v>138</v>
      </c>
      <c r="N3" s="183"/>
    </row>
    <row r="4" spans="2:26" s="1" customFormat="1">
      <c r="B4" s="7" t="s">
        <v>11</v>
      </c>
      <c r="C4" s="8">
        <f>Budget!H4</f>
        <v>715000</v>
      </c>
      <c r="E4" s="2"/>
      <c r="F4" s="9" t="s">
        <v>73</v>
      </c>
      <c r="G4" s="10" t="s">
        <v>74</v>
      </c>
      <c r="H4" s="9" t="s">
        <v>73</v>
      </c>
      <c r="I4" s="11" t="s">
        <v>74</v>
      </c>
      <c r="J4" s="12" t="s">
        <v>73</v>
      </c>
      <c r="K4" s="13" t="s">
        <v>74</v>
      </c>
      <c r="M4" s="14"/>
      <c r="N4" s="15" t="s">
        <v>75</v>
      </c>
    </row>
    <row r="5" spans="2:26" s="1" customFormat="1">
      <c r="B5" s="7" t="s">
        <v>76</v>
      </c>
      <c r="C5" s="8">
        <f>Budget!H5</f>
        <v>481250</v>
      </c>
      <c r="E5" s="16" t="s">
        <v>77</v>
      </c>
      <c r="F5" s="17">
        <f>'Reve per Price'!C4</f>
        <v>250</v>
      </c>
      <c r="G5" s="18">
        <f>F5/1.13</f>
        <v>221.23893805309737</v>
      </c>
      <c r="H5" s="17">
        <f>F5*0.98</f>
        <v>245</v>
      </c>
      <c r="I5" s="19">
        <f>H5/1.13</f>
        <v>216.81415929203541</v>
      </c>
      <c r="J5" s="17">
        <f>H5*0.98</f>
        <v>240.1</v>
      </c>
      <c r="K5" s="20">
        <f>J5/1.13</f>
        <v>212.47787610619471</v>
      </c>
      <c r="M5" s="21" t="s">
        <v>78</v>
      </c>
      <c r="N5" s="22">
        <f>G22</f>
        <v>431.22699115044247</v>
      </c>
    </row>
    <row r="6" spans="2:26" s="1" customFormat="1">
      <c r="B6" s="7" t="s">
        <v>79</v>
      </c>
      <c r="C6" s="8">
        <f>Budget!H6</f>
        <v>159000</v>
      </c>
      <c r="E6" s="23" t="s">
        <v>80</v>
      </c>
      <c r="F6" s="24">
        <f>$C$16+$C$17</f>
        <v>0</v>
      </c>
      <c r="G6" s="18">
        <f>F6</f>
        <v>0</v>
      </c>
      <c r="H6" s="24">
        <f>$C$16+$C$17</f>
        <v>0</v>
      </c>
      <c r="I6" s="25">
        <f>H6</f>
        <v>0</v>
      </c>
      <c r="J6" s="24">
        <f>$C$16+$C$17</f>
        <v>0</v>
      </c>
      <c r="K6" s="20">
        <f>J6</f>
        <v>0</v>
      </c>
      <c r="M6" s="26" t="s">
        <v>81</v>
      </c>
      <c r="N6" s="145">
        <f>(N5-N7)/N5</f>
        <v>0.48695479969176236</v>
      </c>
    </row>
    <row r="7" spans="2:26" s="1" customFormat="1">
      <c r="B7" s="7" t="s">
        <v>20</v>
      </c>
      <c r="C7" s="8">
        <f>Budget!H7</f>
        <v>150000</v>
      </c>
      <c r="E7" s="23" t="s">
        <v>82</v>
      </c>
      <c r="F7" s="24">
        <f>(C3+C4)/C20</f>
        <v>45.659722222222221</v>
      </c>
      <c r="G7" s="18">
        <f>F7/1.13</f>
        <v>40.406833824975422</v>
      </c>
      <c r="H7" s="24">
        <v>0</v>
      </c>
      <c r="I7" s="25">
        <f>H7/1.13</f>
        <v>0</v>
      </c>
      <c r="J7" s="24">
        <v>0</v>
      </c>
      <c r="K7" s="20">
        <f>J7/1.13</f>
        <v>0</v>
      </c>
      <c r="M7" s="27" t="s">
        <v>83</v>
      </c>
      <c r="N7" s="28">
        <f>G5</f>
        <v>221.23893805309737</v>
      </c>
    </row>
    <row r="8" spans="2:26" s="1" customFormat="1">
      <c r="B8" s="7" t="s">
        <v>84</v>
      </c>
      <c r="C8" s="8">
        <f>Budget!H8</f>
        <v>2032800</v>
      </c>
      <c r="E8" s="23" t="s">
        <v>85</v>
      </c>
      <c r="F8" s="24">
        <f>(C9-C3-C4)/C20</f>
        <v>98.022569444444443</v>
      </c>
      <c r="G8" s="18">
        <f>F8/1.13</f>
        <v>86.745636676499515</v>
      </c>
      <c r="H8" s="24">
        <v>0</v>
      </c>
      <c r="I8" s="25">
        <f>H8</f>
        <v>0</v>
      </c>
      <c r="J8" s="24">
        <v>0</v>
      </c>
      <c r="K8" s="20">
        <f>J8</f>
        <v>0</v>
      </c>
      <c r="M8" s="27" t="s">
        <v>86</v>
      </c>
      <c r="N8" s="29"/>
    </row>
    <row r="9" spans="2:26" s="1" customFormat="1">
      <c r="B9" s="30" t="s">
        <v>87</v>
      </c>
      <c r="C9" s="31">
        <f>SUM(C3:C8)</f>
        <v>4138050</v>
      </c>
      <c r="E9" s="16" t="s">
        <v>88</v>
      </c>
      <c r="F9" s="32">
        <v>0</v>
      </c>
      <c r="G9" s="18">
        <f>F9/1.09</f>
        <v>0</v>
      </c>
      <c r="H9" s="32">
        <f>F9</f>
        <v>0</v>
      </c>
      <c r="I9" s="25">
        <f>H9/1.09</f>
        <v>0</v>
      </c>
      <c r="J9" s="32">
        <f>H9</f>
        <v>0</v>
      </c>
      <c r="K9" s="20">
        <f>J9/1.09</f>
        <v>0</v>
      </c>
      <c r="M9" s="27" t="s">
        <v>89</v>
      </c>
      <c r="N9" s="33">
        <f>SUM(C20:C26)</f>
        <v>86400</v>
      </c>
    </row>
    <row r="10" spans="2:26" s="1" customFormat="1">
      <c r="E10" s="16" t="s">
        <v>90</v>
      </c>
      <c r="F10" s="34">
        <v>0.57999999999999996</v>
      </c>
      <c r="G10" s="18">
        <f>F10/1.09</f>
        <v>0.53211009174311896</v>
      </c>
      <c r="H10" s="32">
        <f>F10</f>
        <v>0.57999999999999996</v>
      </c>
      <c r="I10" s="25">
        <f>H10/1.09</f>
        <v>0.53211009174311896</v>
      </c>
      <c r="J10" s="32">
        <f>H10</f>
        <v>0.57999999999999996</v>
      </c>
      <c r="K10" s="20">
        <f>J10/1.09</f>
        <v>0.53211009174311896</v>
      </c>
      <c r="M10" s="27" t="s">
        <v>91</v>
      </c>
      <c r="N10" s="35">
        <f>G28+I28+K28</f>
        <v>36369456.202194683</v>
      </c>
    </row>
    <row r="11" spans="2:26">
      <c r="B11" s="5" t="s">
        <v>92</v>
      </c>
      <c r="C11" s="36">
        <v>0</v>
      </c>
      <c r="E11" s="23" t="s">
        <v>93</v>
      </c>
      <c r="F11" s="24">
        <f t="shared" ref="F11:K11" si="0">F10+F9</f>
        <v>0.57999999999999996</v>
      </c>
      <c r="G11" s="18">
        <f t="shared" si="0"/>
        <v>0.53211009174311896</v>
      </c>
      <c r="H11" s="37">
        <f t="shared" si="0"/>
        <v>0.57999999999999996</v>
      </c>
      <c r="I11" s="38">
        <f t="shared" si="0"/>
        <v>0.53211009174311896</v>
      </c>
      <c r="J11" s="37">
        <f t="shared" si="0"/>
        <v>0.57999999999999996</v>
      </c>
      <c r="K11" s="39">
        <f t="shared" si="0"/>
        <v>0.53211009174311896</v>
      </c>
      <c r="M11" s="27" t="s">
        <v>94</v>
      </c>
      <c r="N11" s="35">
        <f>G23*G27+I23*I27+K23*K27</f>
        <v>17634164.166796453</v>
      </c>
      <c r="Z11" s="1"/>
    </row>
    <row r="12" spans="2:26">
      <c r="B12" s="7" t="s">
        <v>95</v>
      </c>
      <c r="C12" s="40">
        <v>0</v>
      </c>
      <c r="E12" s="16" t="s">
        <v>96</v>
      </c>
      <c r="F12" s="41">
        <v>0.05</v>
      </c>
      <c r="G12" s="42">
        <f>F12</f>
        <v>0.05</v>
      </c>
      <c r="H12" s="41">
        <v>0.05</v>
      </c>
      <c r="I12" s="43">
        <f>H12</f>
        <v>0.05</v>
      </c>
      <c r="J12" s="41">
        <v>0.05</v>
      </c>
      <c r="K12" s="44">
        <f>J12</f>
        <v>0.05</v>
      </c>
      <c r="M12" s="27" t="s">
        <v>97</v>
      </c>
      <c r="N12" s="45">
        <f>N11/N10</f>
        <v>0.48486191459008771</v>
      </c>
    </row>
    <row r="13" spans="2:26" s="2" customFormat="1">
      <c r="B13" s="7" t="s">
        <v>98</v>
      </c>
      <c r="C13" s="40">
        <v>0</v>
      </c>
      <c r="E13" s="23" t="s">
        <v>99</v>
      </c>
      <c r="F13" s="24">
        <f>F12*F5</f>
        <v>12.5</v>
      </c>
      <c r="G13" s="18">
        <f>F13</f>
        <v>12.5</v>
      </c>
      <c r="H13" s="24">
        <f>H12*H5</f>
        <v>12.25</v>
      </c>
      <c r="I13" s="25">
        <f>H13</f>
        <v>12.25</v>
      </c>
      <c r="J13" s="24">
        <f>J12*J5</f>
        <v>12.005000000000001</v>
      </c>
      <c r="K13" s="20">
        <f>J13</f>
        <v>12.005000000000001</v>
      </c>
      <c r="M13" s="27" t="s">
        <v>100</v>
      </c>
      <c r="N13" s="35">
        <f>G29+I29+K29</f>
        <v>107598.89967098576</v>
      </c>
    </row>
    <row r="14" spans="2:26" s="3" customFormat="1">
      <c r="B14" s="7" t="s">
        <v>101</v>
      </c>
      <c r="C14" s="40">
        <v>0</v>
      </c>
      <c r="E14" s="16" t="s">
        <v>102</v>
      </c>
      <c r="F14" s="41">
        <v>1.7000000000000001E-2</v>
      </c>
      <c r="G14" s="42">
        <f>F14</f>
        <v>1.7000000000000001E-2</v>
      </c>
      <c r="H14" s="41">
        <f>F14</f>
        <v>1.7000000000000001E-2</v>
      </c>
      <c r="I14" s="43">
        <f>H14</f>
        <v>1.7000000000000001E-2</v>
      </c>
      <c r="J14" s="41">
        <f>F14</f>
        <v>1.7000000000000001E-2</v>
      </c>
      <c r="K14" s="44">
        <f>J14</f>
        <v>1.7000000000000001E-2</v>
      </c>
      <c r="M14" s="26" t="s">
        <v>103</v>
      </c>
      <c r="N14" s="46">
        <f>N13/N10</f>
        <v>2.9584962467624908E-3</v>
      </c>
    </row>
    <row r="15" spans="2:26" s="3" customFormat="1">
      <c r="B15" s="7" t="s">
        <v>104</v>
      </c>
      <c r="C15" s="40">
        <v>0</v>
      </c>
      <c r="E15" s="23" t="s">
        <v>105</v>
      </c>
      <c r="F15" s="24">
        <f>C28*F14</f>
        <v>4.25</v>
      </c>
      <c r="G15" s="18">
        <f>F15/1.13</f>
        <v>3.7610619469026552</v>
      </c>
      <c r="H15" s="37">
        <f>H14*C28</f>
        <v>4.25</v>
      </c>
      <c r="I15" s="38">
        <f>H15/1.13</f>
        <v>3.7610619469026552</v>
      </c>
      <c r="J15" s="37">
        <f>J14*C28</f>
        <v>4.25</v>
      </c>
      <c r="K15" s="39">
        <f>J15/1.13</f>
        <v>3.7610619469026552</v>
      </c>
      <c r="M15" s="21" t="s">
        <v>106</v>
      </c>
      <c r="N15" s="47">
        <f>C9</f>
        <v>4138050</v>
      </c>
    </row>
    <row r="16" spans="2:26" s="3" customFormat="1">
      <c r="B16" s="7" t="s">
        <v>107</v>
      </c>
      <c r="C16" s="48">
        <f>SUM(C11:C15)</f>
        <v>0</v>
      </c>
      <c r="E16" s="23" t="s">
        <v>108</v>
      </c>
      <c r="F16" s="24">
        <f t="shared" ref="F16:K16" si="1">F15</f>
        <v>4.25</v>
      </c>
      <c r="G16" s="18">
        <f t="shared" si="1"/>
        <v>3.7610619469026552</v>
      </c>
      <c r="H16" s="37">
        <f t="shared" si="1"/>
        <v>4.25</v>
      </c>
      <c r="I16" s="38">
        <f t="shared" si="1"/>
        <v>3.7610619469026552</v>
      </c>
      <c r="J16" s="37">
        <f t="shared" si="1"/>
        <v>4.25</v>
      </c>
      <c r="K16" s="39">
        <f t="shared" si="1"/>
        <v>3.7610619469026552</v>
      </c>
      <c r="M16" s="26" t="s">
        <v>109</v>
      </c>
      <c r="N16" s="49">
        <f>N13/N15</f>
        <v>2.6002319853792429E-2</v>
      </c>
    </row>
    <row r="17" spans="2:14" s="3" customFormat="1">
      <c r="B17" s="30" t="s">
        <v>110</v>
      </c>
      <c r="C17" s="50">
        <v>0</v>
      </c>
      <c r="E17" s="16" t="s">
        <v>111</v>
      </c>
      <c r="F17" s="41">
        <v>5.0000000000000001E-3</v>
      </c>
      <c r="G17" s="42">
        <v>0.01</v>
      </c>
      <c r="H17" s="41">
        <v>5.0000000000000001E-3</v>
      </c>
      <c r="I17" s="43">
        <v>0.01</v>
      </c>
      <c r="J17" s="41">
        <v>5.0000000000000001E-3</v>
      </c>
      <c r="K17" s="44">
        <v>0.01</v>
      </c>
    </row>
    <row r="18" spans="2:14">
      <c r="E18" s="23" t="s">
        <v>112</v>
      </c>
      <c r="F18" s="24">
        <f>F5*F17</f>
        <v>1.25</v>
      </c>
      <c r="G18" s="18">
        <f>F18</f>
        <v>1.25</v>
      </c>
      <c r="H18" s="37">
        <f>H5*H17</f>
        <v>1.2250000000000001</v>
      </c>
      <c r="I18" s="38">
        <f>H18</f>
        <v>1.2250000000000001</v>
      </c>
      <c r="J18" s="37">
        <f>J5*J17</f>
        <v>1.2004999999999999</v>
      </c>
      <c r="K18" s="39">
        <f>J18</f>
        <v>1.2004999999999999</v>
      </c>
    </row>
    <row r="19" spans="2:14">
      <c r="B19" s="51" t="s">
        <v>113</v>
      </c>
      <c r="E19" s="16" t="s">
        <v>114</v>
      </c>
      <c r="F19" s="41">
        <v>0.3</v>
      </c>
      <c r="G19" s="42">
        <v>0.01</v>
      </c>
      <c r="H19" s="41">
        <v>0.3</v>
      </c>
      <c r="I19" s="43">
        <v>0.01</v>
      </c>
      <c r="J19" s="41">
        <v>0.3</v>
      </c>
      <c r="K19" s="44">
        <v>0.01</v>
      </c>
    </row>
    <row r="20" spans="2:14">
      <c r="B20" s="5" t="s">
        <v>115</v>
      </c>
      <c r="C20" s="52">
        <f>Scenarios!C4</f>
        <v>28800</v>
      </c>
      <c r="D20" s="3"/>
      <c r="E20" s="23" t="s">
        <v>116</v>
      </c>
      <c r="F20" s="24">
        <f>F19*F22</f>
        <v>146.18594999999996</v>
      </c>
      <c r="G20" s="18">
        <f>F20</f>
        <v>146.18594999999996</v>
      </c>
      <c r="H20" s="24">
        <f>H19*H22</f>
        <v>142.38023099999995</v>
      </c>
      <c r="I20" s="25">
        <f>H20</f>
        <v>142.38023099999995</v>
      </c>
      <c r="J20" s="24">
        <f>J19*J22</f>
        <v>139.53262637999995</v>
      </c>
      <c r="K20" s="20">
        <f>J20</f>
        <v>139.53262637999995</v>
      </c>
    </row>
    <row r="21" spans="2:14" s="3" customFormat="1">
      <c r="B21" s="7" t="s">
        <v>117</v>
      </c>
      <c r="C21" s="53">
        <f>Scenarios!C5</f>
        <v>28800</v>
      </c>
      <c r="E21" s="54" t="s">
        <v>118</v>
      </c>
      <c r="F21" s="24">
        <f t="shared" ref="F21:K21" si="2">F5+F6++F7+F8+F11+F13+F16+F18+F20</f>
        <v>558.4482416666666</v>
      </c>
      <c r="G21" s="18">
        <f t="shared" si="2"/>
        <v>512.62053059321806</v>
      </c>
      <c r="H21" s="37">
        <f t="shared" si="2"/>
        <v>405.68523100000004</v>
      </c>
      <c r="I21" s="38">
        <f t="shared" si="2"/>
        <v>376.96256233068112</v>
      </c>
      <c r="J21" s="37">
        <f t="shared" si="2"/>
        <v>397.66812637999993</v>
      </c>
      <c r="K21" s="39">
        <f t="shared" si="2"/>
        <v>369.50917452484043</v>
      </c>
    </row>
    <row r="22" spans="2:14">
      <c r="B22" s="7" t="s">
        <v>119</v>
      </c>
      <c r="C22" s="53">
        <f>Scenarios!C6</f>
        <v>28800</v>
      </c>
      <c r="E22" s="16" t="s">
        <v>144</v>
      </c>
      <c r="F22" s="17">
        <f>'Reve per Price'!E15</f>
        <v>487.28649999999993</v>
      </c>
      <c r="G22" s="55">
        <f>F22/1.13</f>
        <v>431.22699115044247</v>
      </c>
      <c r="H22" s="17">
        <f>(F22-3)*0.98</f>
        <v>474.6007699999999</v>
      </c>
      <c r="I22" s="56">
        <f>H22/1.13</f>
        <v>420.00068141592914</v>
      </c>
      <c r="J22" s="17">
        <f>H22*0.98</f>
        <v>465.10875459999988</v>
      </c>
      <c r="K22" s="57">
        <f>J22/1.13</f>
        <v>411.60066778761058</v>
      </c>
    </row>
    <row r="23" spans="2:14">
      <c r="B23" s="7"/>
      <c r="C23" s="58"/>
      <c r="E23" s="23" t="s">
        <v>120</v>
      </c>
      <c r="F23" s="24">
        <f t="shared" ref="F23:K23" si="3">F22-F5</f>
        <v>237.28649999999993</v>
      </c>
      <c r="G23" s="18">
        <f t="shared" si="3"/>
        <v>209.9880530973451</v>
      </c>
      <c r="H23" s="24">
        <f t="shared" si="3"/>
        <v>229.6007699999999</v>
      </c>
      <c r="I23" s="25">
        <f t="shared" si="3"/>
        <v>203.18652212389372</v>
      </c>
      <c r="J23" s="24">
        <f t="shared" si="3"/>
        <v>225.00875459999989</v>
      </c>
      <c r="K23" s="20">
        <f t="shared" si="3"/>
        <v>199.12279168141586</v>
      </c>
    </row>
    <row r="24" spans="2:14">
      <c r="B24" s="7" t="s">
        <v>121</v>
      </c>
      <c r="C24" s="59">
        <v>0</v>
      </c>
      <c r="E24" s="54" t="s">
        <v>122</v>
      </c>
      <c r="F24" s="60">
        <f t="shared" ref="F24:K24" si="4">F23/F22</f>
        <v>0.48695479969176236</v>
      </c>
      <c r="G24" s="42">
        <f t="shared" si="4"/>
        <v>0.48695479969176236</v>
      </c>
      <c r="H24" s="60">
        <f t="shared" si="4"/>
        <v>0.4837766487399503</v>
      </c>
      <c r="I24" s="43">
        <f t="shared" si="4"/>
        <v>0.4837766487399503</v>
      </c>
      <c r="J24" s="60">
        <f t="shared" si="4"/>
        <v>0.4837766487399503</v>
      </c>
      <c r="K24" s="44">
        <f t="shared" si="4"/>
        <v>0.4837766487399503</v>
      </c>
    </row>
    <row r="25" spans="2:14">
      <c r="B25" s="7" t="s">
        <v>123</v>
      </c>
      <c r="C25" s="59">
        <v>0</v>
      </c>
      <c r="E25" s="23" t="s">
        <v>124</v>
      </c>
      <c r="F25" s="24">
        <f t="shared" ref="F25:K25" si="5">F22-F21</f>
        <v>-71.161741666666671</v>
      </c>
      <c r="G25" s="18">
        <f t="shared" si="5"/>
        <v>-81.393539442775591</v>
      </c>
      <c r="H25" s="24">
        <f t="shared" si="5"/>
        <v>68.915538999999853</v>
      </c>
      <c r="I25" s="25">
        <f t="shared" si="5"/>
        <v>43.038119085248013</v>
      </c>
      <c r="J25" s="24">
        <f t="shared" si="5"/>
        <v>67.440628219999951</v>
      </c>
      <c r="K25" s="20">
        <f t="shared" si="5"/>
        <v>42.091493262770143</v>
      </c>
    </row>
    <row r="26" spans="2:14">
      <c r="B26" s="30" t="s">
        <v>125</v>
      </c>
      <c r="C26" s="61">
        <v>0</v>
      </c>
      <c r="E26" s="54" t="s">
        <v>126</v>
      </c>
      <c r="F26" s="60">
        <f t="shared" ref="F26:K26" si="6">F25/F22</f>
        <v>-0.14603676003063226</v>
      </c>
      <c r="G26" s="42">
        <f t="shared" si="6"/>
        <v>-0.18874871265741289</v>
      </c>
      <c r="H26" s="60">
        <f t="shared" si="6"/>
        <v>0.14520738978152073</v>
      </c>
      <c r="I26" s="43">
        <f t="shared" si="6"/>
        <v>0.10247154585596281</v>
      </c>
      <c r="J26" s="60">
        <f t="shared" si="6"/>
        <v>0.14499969642153876</v>
      </c>
      <c r="K26" s="44">
        <f t="shared" si="6"/>
        <v>0.10226293725181639</v>
      </c>
      <c r="M26" s="3"/>
      <c r="N26" s="3"/>
    </row>
    <row r="27" spans="2:14">
      <c r="E27" s="54" t="s">
        <v>127</v>
      </c>
      <c r="F27" s="62">
        <f>C20+C24</f>
        <v>28800</v>
      </c>
      <c r="G27" s="63">
        <f>F27</f>
        <v>28800</v>
      </c>
      <c r="H27" s="64">
        <f>C21+C25</f>
        <v>28800</v>
      </c>
      <c r="I27" s="65">
        <f>H27</f>
        <v>28800</v>
      </c>
      <c r="J27" s="64">
        <f>C22+C26</f>
        <v>28800</v>
      </c>
      <c r="K27" s="66">
        <f>J27</f>
        <v>28800</v>
      </c>
      <c r="M27" s="67"/>
      <c r="N27" s="67"/>
    </row>
    <row r="28" spans="2:14">
      <c r="B28" s="5" t="s">
        <v>128</v>
      </c>
      <c r="C28" s="36">
        <f>F5</f>
        <v>250</v>
      </c>
      <c r="E28" s="54" t="s">
        <v>129</v>
      </c>
      <c r="F28" s="68">
        <f t="shared" ref="F28:K28" si="7">F27*F22</f>
        <v>14033851.199999997</v>
      </c>
      <c r="G28" s="18">
        <f t="shared" si="7"/>
        <v>12419337.345132744</v>
      </c>
      <c r="H28" s="69">
        <f t="shared" si="7"/>
        <v>13668502.175999997</v>
      </c>
      <c r="I28" s="70">
        <f t="shared" si="7"/>
        <v>12096019.624778759</v>
      </c>
      <c r="J28" s="69">
        <f t="shared" si="7"/>
        <v>13395132.132479997</v>
      </c>
      <c r="K28" s="71">
        <f t="shared" si="7"/>
        <v>11854099.232283184</v>
      </c>
    </row>
    <row r="29" spans="2:14">
      <c r="B29" s="30"/>
      <c r="C29" s="50"/>
      <c r="E29" s="54" t="s">
        <v>130</v>
      </c>
      <c r="F29" s="72">
        <f t="shared" ref="F29:K29" si="8">F27*F25</f>
        <v>-2049458.1600000001</v>
      </c>
      <c r="G29" s="73">
        <f t="shared" si="8"/>
        <v>-2344133.935951937</v>
      </c>
      <c r="H29" s="74">
        <f t="shared" si="8"/>
        <v>1984767.5231999957</v>
      </c>
      <c r="I29" s="75">
        <f t="shared" si="8"/>
        <v>1239497.8296551427</v>
      </c>
      <c r="J29" s="74">
        <f t="shared" si="8"/>
        <v>1942290.0927359986</v>
      </c>
      <c r="K29" s="76">
        <f t="shared" si="8"/>
        <v>1212235.00596778</v>
      </c>
    </row>
    <row r="31" spans="2:14">
      <c r="F31" s="200"/>
    </row>
    <row r="32" spans="2:14">
      <c r="F32" s="200"/>
    </row>
    <row r="39" spans="1:10">
      <c r="A39" s="77"/>
      <c r="D39" s="78"/>
    </row>
    <row r="40" spans="1:10">
      <c r="D40" s="1"/>
    </row>
    <row r="43" spans="1:10">
      <c r="D43" s="79"/>
    </row>
    <row r="46" spans="1:10">
      <c r="J46" s="51"/>
    </row>
    <row r="50" spans="8:11">
      <c r="J50" s="1"/>
      <c r="K50" s="1"/>
    </row>
    <row r="51" spans="8:11">
      <c r="J51" s="1"/>
      <c r="K51" s="1"/>
    </row>
    <row r="52" spans="8:11">
      <c r="J52" s="1"/>
      <c r="K52" s="1"/>
    </row>
    <row r="53" spans="8:11">
      <c r="J53" s="1"/>
      <c r="K53" s="1"/>
    </row>
    <row r="54" spans="8:11">
      <c r="J54" s="1" t="s">
        <v>131</v>
      </c>
      <c r="K54" s="1"/>
    </row>
    <row r="57" spans="8:11">
      <c r="H57" s="2"/>
      <c r="I57" s="2"/>
      <c r="J57" s="2"/>
      <c r="K57" s="2"/>
    </row>
    <row r="58" spans="8:11">
      <c r="H58" s="3"/>
      <c r="I58" s="3"/>
      <c r="J58" s="3"/>
      <c r="K58" s="3"/>
    </row>
    <row r="59" spans="8:11">
      <c r="H59" s="3"/>
      <c r="I59" s="3"/>
      <c r="J59" s="3"/>
      <c r="K59" s="3"/>
    </row>
    <row r="60" spans="8:11">
      <c r="H60" s="3"/>
      <c r="I60" s="3"/>
      <c r="J60" s="3"/>
      <c r="K60" s="3"/>
    </row>
    <row r="61" spans="8:11">
      <c r="H61" s="3"/>
      <c r="I61" s="3"/>
      <c r="J61" s="3"/>
      <c r="K61" s="3"/>
    </row>
    <row r="65" spans="3:11">
      <c r="H65" s="3"/>
      <c r="I65" s="3"/>
      <c r="J65" s="3"/>
      <c r="K65" s="3"/>
    </row>
    <row r="75" spans="3:11">
      <c r="C75" s="1"/>
    </row>
    <row r="76" spans="3:11">
      <c r="C76" s="1"/>
    </row>
    <row r="77" spans="3:11">
      <c r="C77" s="1"/>
    </row>
    <row r="78" spans="3:11">
      <c r="C78" s="1"/>
    </row>
    <row r="79" spans="3:11">
      <c r="C79" s="1"/>
    </row>
    <row r="80" spans="3:11">
      <c r="C80" s="1"/>
    </row>
    <row r="81" spans="1:3">
      <c r="C81" s="1"/>
    </row>
    <row r="82" spans="1:3">
      <c r="C82" s="1"/>
    </row>
    <row r="85" spans="1:3">
      <c r="A85" s="2"/>
      <c r="B85" s="2"/>
      <c r="C85" s="2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</sheetData>
  <mergeCells count="5">
    <mergeCell ref="B1:C1"/>
    <mergeCell ref="F3:G3"/>
    <mergeCell ref="H3:I3"/>
    <mergeCell ref="J3:K3"/>
    <mergeCell ref="M3:N3"/>
  </mergeCells>
  <phoneticPr fontId="3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8"/>
  <sheetViews>
    <sheetView topLeftCell="E1" zoomScale="80" zoomScaleNormal="80" workbookViewId="0">
      <selection activeCell="E37" sqref="E37"/>
    </sheetView>
  </sheetViews>
  <sheetFormatPr defaultColWidth="10.9140625" defaultRowHeight="14.5"/>
  <cols>
    <col min="1" max="1" width="4.75" style="4" customWidth="1"/>
    <col min="2" max="2" width="27.75" style="4" customWidth="1"/>
    <col min="3" max="3" width="18" style="4" customWidth="1"/>
    <col min="4" max="4" width="4.75" style="4" customWidth="1"/>
    <col min="5" max="5" width="29.75" style="4" customWidth="1"/>
    <col min="6" max="6" width="23.33203125" style="4" customWidth="1"/>
    <col min="7" max="8" width="20.08203125" style="4" customWidth="1"/>
    <col min="9" max="9" width="17.9140625" style="4" customWidth="1"/>
    <col min="10" max="10" width="18.6640625" style="4" customWidth="1"/>
    <col min="11" max="11" width="17.9140625" style="4" customWidth="1"/>
    <col min="12" max="12" width="4.75" style="4" customWidth="1"/>
    <col min="13" max="13" width="16.75" style="4" customWidth="1"/>
    <col min="14" max="14" width="18.4140625" style="4" bestFit="1" customWidth="1"/>
    <col min="15" max="15" width="20.08203125" style="4" customWidth="1"/>
    <col min="16" max="16" width="31.58203125" style="4" customWidth="1"/>
    <col min="17" max="16384" width="10.9140625" style="4"/>
  </cols>
  <sheetData>
    <row r="1" spans="2:26" s="1" customFormat="1" ht="20">
      <c r="B1" s="175" t="s">
        <v>132</v>
      </c>
      <c r="C1" s="175"/>
    </row>
    <row r="2" spans="2:26" s="1" customFormat="1"/>
    <row r="3" spans="2:26" s="1" customFormat="1" ht="16.5">
      <c r="B3" s="5" t="s">
        <v>8</v>
      </c>
      <c r="C3" s="6">
        <f>Budget!H3</f>
        <v>600000</v>
      </c>
      <c r="E3" s="4"/>
      <c r="F3" s="176" t="s">
        <v>70</v>
      </c>
      <c r="G3" s="177"/>
      <c r="H3" s="178" t="s">
        <v>71</v>
      </c>
      <c r="I3" s="179"/>
      <c r="J3" s="180" t="s">
        <v>72</v>
      </c>
      <c r="K3" s="181"/>
      <c r="M3" s="182" t="s">
        <v>136</v>
      </c>
      <c r="N3" s="183"/>
    </row>
    <row r="4" spans="2:26" s="1" customFormat="1">
      <c r="B4" s="7" t="s">
        <v>11</v>
      </c>
      <c r="C4" s="8">
        <f>Budget!H4</f>
        <v>715000</v>
      </c>
      <c r="E4" s="2"/>
      <c r="F4" s="9" t="s">
        <v>73</v>
      </c>
      <c r="G4" s="10" t="s">
        <v>74</v>
      </c>
      <c r="H4" s="9" t="s">
        <v>73</v>
      </c>
      <c r="I4" s="11" t="s">
        <v>74</v>
      </c>
      <c r="J4" s="12" t="s">
        <v>73</v>
      </c>
      <c r="K4" s="13" t="s">
        <v>74</v>
      </c>
      <c r="M4" s="14"/>
      <c r="N4" s="15" t="s">
        <v>75</v>
      </c>
    </row>
    <row r="5" spans="2:26" s="1" customFormat="1">
      <c r="B5" s="7" t="s">
        <v>76</v>
      </c>
      <c r="C5" s="8">
        <f>Budget!H5</f>
        <v>481250</v>
      </c>
      <c r="E5" s="16" t="s">
        <v>77</v>
      </c>
      <c r="F5" s="17">
        <f>'Reve per Price'!C4</f>
        <v>250</v>
      </c>
      <c r="G5" s="18">
        <f t="shared" ref="G5:K5" si="0">F5/1.13</f>
        <v>221.23893805309737</v>
      </c>
      <c r="H5" s="17">
        <f>F5*0.98</f>
        <v>245</v>
      </c>
      <c r="I5" s="19">
        <f t="shared" si="0"/>
        <v>216.81415929203541</v>
      </c>
      <c r="J5" s="17">
        <f>H5*0.98</f>
        <v>240.1</v>
      </c>
      <c r="K5" s="20">
        <f t="shared" si="0"/>
        <v>212.47787610619471</v>
      </c>
      <c r="M5" s="21" t="s">
        <v>78</v>
      </c>
      <c r="N5" s="22">
        <f>G22</f>
        <v>431.22699115044247</v>
      </c>
    </row>
    <row r="6" spans="2:26" s="1" customFormat="1">
      <c r="B6" s="7" t="s">
        <v>79</v>
      </c>
      <c r="C6" s="8">
        <f>Budget!H6</f>
        <v>159000</v>
      </c>
      <c r="E6" s="23" t="s">
        <v>80</v>
      </c>
      <c r="F6" s="24">
        <f t="shared" ref="F6:J6" si="1">$C$16+$C$17</f>
        <v>0</v>
      </c>
      <c r="G6" s="18">
        <f t="shared" ref="G6:K6" si="2">F6</f>
        <v>0</v>
      </c>
      <c r="H6" s="24">
        <f t="shared" si="1"/>
        <v>0</v>
      </c>
      <c r="I6" s="25">
        <f t="shared" si="2"/>
        <v>0</v>
      </c>
      <c r="J6" s="24">
        <f t="shared" si="1"/>
        <v>0</v>
      </c>
      <c r="K6" s="20">
        <f t="shared" si="2"/>
        <v>0</v>
      </c>
      <c r="M6" s="26" t="s">
        <v>81</v>
      </c>
      <c r="N6" s="145">
        <f>(N5-N7)/N5</f>
        <v>0.48695479969176236</v>
      </c>
    </row>
    <row r="7" spans="2:26" s="1" customFormat="1">
      <c r="B7" s="7" t="s">
        <v>20</v>
      </c>
      <c r="C7" s="8">
        <f>Budget!H7</f>
        <v>150000</v>
      </c>
      <c r="E7" s="23" t="s">
        <v>82</v>
      </c>
      <c r="F7" s="24">
        <f>(C3+C4-D3)/C20</f>
        <v>29.617117117117118</v>
      </c>
      <c r="G7" s="18">
        <f t="shared" ref="G7:K7" si="3">F7/1.13</f>
        <v>26.209838156740815</v>
      </c>
      <c r="H7" s="24">
        <v>0</v>
      </c>
      <c r="I7" s="25">
        <f t="shared" si="3"/>
        <v>0</v>
      </c>
      <c r="J7" s="24">
        <v>0</v>
      </c>
      <c r="K7" s="20">
        <f t="shared" si="3"/>
        <v>0</v>
      </c>
      <c r="M7" s="27" t="s">
        <v>83</v>
      </c>
      <c r="N7" s="28">
        <f>G5</f>
        <v>221.23893805309737</v>
      </c>
    </row>
    <row r="8" spans="2:26" s="1" customFormat="1">
      <c r="B8" s="7" t="s">
        <v>84</v>
      </c>
      <c r="C8" s="8">
        <f>Budget!H8</f>
        <v>2032800</v>
      </c>
      <c r="E8" s="23" t="s">
        <v>85</v>
      </c>
      <c r="F8" s="24">
        <f>(C9-C3-C4)/C20</f>
        <v>63.582207207207205</v>
      </c>
      <c r="G8" s="18">
        <f>F8/1.13</f>
        <v>56.26744000637806</v>
      </c>
      <c r="H8" s="24">
        <v>0</v>
      </c>
      <c r="I8" s="25">
        <f>H8</f>
        <v>0</v>
      </c>
      <c r="J8" s="24">
        <v>0</v>
      </c>
      <c r="K8" s="20">
        <f>J8</f>
        <v>0</v>
      </c>
      <c r="M8" s="27" t="s">
        <v>86</v>
      </c>
      <c r="N8" s="29"/>
    </row>
    <row r="9" spans="2:26" s="1" customFormat="1">
      <c r="B9" s="30" t="s">
        <v>87</v>
      </c>
      <c r="C9" s="31">
        <f>SUM(C3:C8)</f>
        <v>4138050</v>
      </c>
      <c r="E9" s="16" t="s">
        <v>88</v>
      </c>
      <c r="F9" s="32">
        <v>0</v>
      </c>
      <c r="G9" s="18">
        <f t="shared" ref="G9:K9" si="4">F9/1.09</f>
        <v>0</v>
      </c>
      <c r="H9" s="32">
        <f t="shared" ref="H9:H14" si="5">F9</f>
        <v>0</v>
      </c>
      <c r="I9" s="25">
        <f t="shared" si="4"/>
        <v>0</v>
      </c>
      <c r="J9" s="32">
        <f>H9</f>
        <v>0</v>
      </c>
      <c r="K9" s="20">
        <f t="shared" si="4"/>
        <v>0</v>
      </c>
      <c r="M9" s="27" t="s">
        <v>89</v>
      </c>
      <c r="N9" s="33">
        <f>SUM(C20:C26)</f>
        <v>133200</v>
      </c>
    </row>
    <row r="10" spans="2:26" s="1" customFormat="1">
      <c r="E10" s="16" t="s">
        <v>90</v>
      </c>
      <c r="F10" s="34">
        <v>0.57999999999999996</v>
      </c>
      <c r="G10" s="18">
        <f t="shared" ref="G10:K10" si="6">F10/1.09</f>
        <v>0.53211009174311896</v>
      </c>
      <c r="H10" s="32">
        <f t="shared" si="5"/>
        <v>0.57999999999999996</v>
      </c>
      <c r="I10" s="25">
        <f t="shared" si="6"/>
        <v>0.53211009174311896</v>
      </c>
      <c r="J10" s="32">
        <f>H10</f>
        <v>0.57999999999999996</v>
      </c>
      <c r="K10" s="20">
        <f t="shared" si="6"/>
        <v>0.53211009174311896</v>
      </c>
      <c r="M10" s="27" t="s">
        <v>91</v>
      </c>
      <c r="N10" s="35">
        <f>G28+I28+K28</f>
        <v>56069578.311716802</v>
      </c>
    </row>
    <row r="11" spans="2:26">
      <c r="B11" s="5" t="s">
        <v>92</v>
      </c>
      <c r="C11" s="36">
        <v>0</v>
      </c>
      <c r="E11" s="23" t="s">
        <v>93</v>
      </c>
      <c r="F11" s="24">
        <f t="shared" ref="F11:K11" si="7">F10+F9</f>
        <v>0.57999999999999996</v>
      </c>
      <c r="G11" s="18">
        <f t="shared" si="7"/>
        <v>0.53211009174311896</v>
      </c>
      <c r="H11" s="37">
        <f t="shared" si="7"/>
        <v>0.57999999999999996</v>
      </c>
      <c r="I11" s="38">
        <f t="shared" si="7"/>
        <v>0.53211009174311896</v>
      </c>
      <c r="J11" s="37">
        <f t="shared" si="7"/>
        <v>0.57999999999999996</v>
      </c>
      <c r="K11" s="39">
        <f t="shared" si="7"/>
        <v>0.53211009174311896</v>
      </c>
      <c r="M11" s="27" t="s">
        <v>94</v>
      </c>
      <c r="N11" s="35">
        <f>G23*G27+I23*I27+K23*K27</f>
        <v>27186003.090477869</v>
      </c>
      <c r="Z11" s="1"/>
    </row>
    <row r="12" spans="2:26">
      <c r="B12" s="7" t="s">
        <v>95</v>
      </c>
      <c r="C12" s="40">
        <v>0</v>
      </c>
      <c r="E12" s="16" t="s">
        <v>96</v>
      </c>
      <c r="F12" s="41">
        <v>0.05</v>
      </c>
      <c r="G12" s="42">
        <f t="shared" ref="G12:K12" si="8">F12</f>
        <v>0.05</v>
      </c>
      <c r="H12" s="41">
        <v>0.05</v>
      </c>
      <c r="I12" s="43">
        <f t="shared" si="8"/>
        <v>0.05</v>
      </c>
      <c r="J12" s="41">
        <v>0.05</v>
      </c>
      <c r="K12" s="44">
        <f t="shared" si="8"/>
        <v>0.05</v>
      </c>
      <c r="M12" s="27" t="s">
        <v>97</v>
      </c>
      <c r="N12" s="45">
        <f>N11/N10</f>
        <v>0.48486191459008776</v>
      </c>
    </row>
    <row r="13" spans="2:26" s="2" customFormat="1">
      <c r="B13" s="7" t="s">
        <v>98</v>
      </c>
      <c r="C13" s="40">
        <v>0</v>
      </c>
      <c r="E13" s="23" t="s">
        <v>99</v>
      </c>
      <c r="F13" s="24">
        <f t="shared" ref="F13:J13" si="9">F12*F5</f>
        <v>12.5</v>
      </c>
      <c r="G13" s="18">
        <f t="shared" ref="G13:K13" si="10">F13</f>
        <v>12.5</v>
      </c>
      <c r="H13" s="24">
        <f t="shared" si="9"/>
        <v>12.25</v>
      </c>
      <c r="I13" s="25">
        <f t="shared" si="10"/>
        <v>12.25</v>
      </c>
      <c r="J13" s="24">
        <f t="shared" si="9"/>
        <v>12.005000000000001</v>
      </c>
      <c r="K13" s="20">
        <f t="shared" si="10"/>
        <v>12.005000000000001</v>
      </c>
      <c r="M13" s="27" t="s">
        <v>100</v>
      </c>
      <c r="N13" s="35">
        <f>G29+I29+K29</f>
        <v>2149460.1768157789</v>
      </c>
    </row>
    <row r="14" spans="2:26" s="3" customFormat="1">
      <c r="B14" s="7" t="s">
        <v>101</v>
      </c>
      <c r="C14" s="40">
        <v>0</v>
      </c>
      <c r="E14" s="16" t="s">
        <v>102</v>
      </c>
      <c r="F14" s="41">
        <v>1.7000000000000001E-2</v>
      </c>
      <c r="G14" s="42">
        <f t="shared" ref="G14:K14" si="11">F14</f>
        <v>1.7000000000000001E-2</v>
      </c>
      <c r="H14" s="41">
        <f t="shared" si="5"/>
        <v>1.7000000000000001E-2</v>
      </c>
      <c r="I14" s="43">
        <f t="shared" si="11"/>
        <v>1.7000000000000001E-2</v>
      </c>
      <c r="J14" s="41">
        <f>F14</f>
        <v>1.7000000000000001E-2</v>
      </c>
      <c r="K14" s="44">
        <f t="shared" si="11"/>
        <v>1.7000000000000001E-2</v>
      </c>
      <c r="M14" s="26" t="s">
        <v>103</v>
      </c>
      <c r="N14" s="46">
        <f>N13/N10</f>
        <v>3.8335586632486027E-2</v>
      </c>
    </row>
    <row r="15" spans="2:26" s="3" customFormat="1">
      <c r="B15" s="7" t="s">
        <v>104</v>
      </c>
      <c r="C15" s="40">
        <v>0</v>
      </c>
      <c r="E15" s="23" t="s">
        <v>105</v>
      </c>
      <c r="F15" s="24">
        <f>C28*F14</f>
        <v>4.25</v>
      </c>
      <c r="G15" s="18">
        <f t="shared" ref="G15:K15" si="12">F15/1.13</f>
        <v>3.7610619469026552</v>
      </c>
      <c r="H15" s="37">
        <f>H14*C28</f>
        <v>4.25</v>
      </c>
      <c r="I15" s="38">
        <f t="shared" si="12"/>
        <v>3.7610619469026552</v>
      </c>
      <c r="J15" s="37">
        <f>J14*C28</f>
        <v>4.25</v>
      </c>
      <c r="K15" s="39">
        <f t="shared" si="12"/>
        <v>3.7610619469026552</v>
      </c>
      <c r="M15" s="21" t="s">
        <v>106</v>
      </c>
      <c r="N15" s="47">
        <f>C9</f>
        <v>4138050</v>
      </c>
    </row>
    <row r="16" spans="2:26" s="3" customFormat="1">
      <c r="B16" s="7" t="s">
        <v>107</v>
      </c>
      <c r="C16" s="48">
        <f>SUM(C11:C15)</f>
        <v>0</v>
      </c>
      <c r="E16" s="23" t="s">
        <v>108</v>
      </c>
      <c r="F16" s="24">
        <f t="shared" ref="F16:K16" si="13">F15</f>
        <v>4.25</v>
      </c>
      <c r="G16" s="18">
        <f t="shared" si="13"/>
        <v>3.7610619469026552</v>
      </c>
      <c r="H16" s="37">
        <f t="shared" si="13"/>
        <v>4.25</v>
      </c>
      <c r="I16" s="38">
        <f t="shared" si="13"/>
        <v>3.7610619469026552</v>
      </c>
      <c r="J16" s="37">
        <f t="shared" si="13"/>
        <v>4.25</v>
      </c>
      <c r="K16" s="39">
        <f t="shared" si="13"/>
        <v>3.7610619469026552</v>
      </c>
      <c r="M16" s="26" t="s">
        <v>109</v>
      </c>
      <c r="N16" s="49">
        <f>N13/N15</f>
        <v>0.51943794222297435</v>
      </c>
    </row>
    <row r="17" spans="2:14" s="3" customFormat="1">
      <c r="B17" s="30" t="s">
        <v>110</v>
      </c>
      <c r="C17" s="50">
        <v>0</v>
      </c>
      <c r="E17" s="16" t="s">
        <v>111</v>
      </c>
      <c r="F17" s="41">
        <v>5.0000000000000001E-3</v>
      </c>
      <c r="G17" s="42">
        <v>0.01</v>
      </c>
      <c r="H17" s="41">
        <v>5.0000000000000001E-3</v>
      </c>
      <c r="I17" s="43">
        <v>0.01</v>
      </c>
      <c r="J17" s="41">
        <v>5.0000000000000001E-3</v>
      </c>
      <c r="K17" s="44">
        <v>0.01</v>
      </c>
    </row>
    <row r="18" spans="2:14">
      <c r="E18" s="23" t="s">
        <v>112</v>
      </c>
      <c r="F18" s="24">
        <f t="shared" ref="F18:J18" si="14">F5*F17</f>
        <v>1.25</v>
      </c>
      <c r="G18" s="18">
        <f t="shared" ref="G18:K18" si="15">F18</f>
        <v>1.25</v>
      </c>
      <c r="H18" s="37">
        <f t="shared" si="14"/>
        <v>1.2250000000000001</v>
      </c>
      <c r="I18" s="38">
        <f t="shared" si="15"/>
        <v>1.2250000000000001</v>
      </c>
      <c r="J18" s="37">
        <f t="shared" si="14"/>
        <v>1.2004999999999999</v>
      </c>
      <c r="K18" s="39">
        <f t="shared" si="15"/>
        <v>1.2004999999999999</v>
      </c>
    </row>
    <row r="19" spans="2:14">
      <c r="B19" s="51" t="s">
        <v>113</v>
      </c>
      <c r="E19" s="16" t="s">
        <v>114</v>
      </c>
      <c r="F19" s="41">
        <v>0.3</v>
      </c>
      <c r="G19" s="42">
        <v>0.01</v>
      </c>
      <c r="H19" s="41">
        <v>0.3</v>
      </c>
      <c r="I19" s="43">
        <v>0.01</v>
      </c>
      <c r="J19" s="41">
        <v>0.3</v>
      </c>
      <c r="K19" s="44">
        <v>0.01</v>
      </c>
    </row>
    <row r="20" spans="2:14">
      <c r="B20" s="5" t="s">
        <v>115</v>
      </c>
      <c r="C20" s="52">
        <f>Scenarios!C12</f>
        <v>44400</v>
      </c>
      <c r="D20" s="3"/>
      <c r="E20" s="23" t="s">
        <v>116</v>
      </c>
      <c r="F20" s="24">
        <f t="shared" ref="F20:J20" si="16">F19*F22</f>
        <v>146.18594999999996</v>
      </c>
      <c r="G20" s="18">
        <f t="shared" ref="G20:K20" si="17">F20</f>
        <v>146.18594999999996</v>
      </c>
      <c r="H20" s="24">
        <f t="shared" si="16"/>
        <v>142.38023099999995</v>
      </c>
      <c r="I20" s="25">
        <f t="shared" si="17"/>
        <v>142.38023099999995</v>
      </c>
      <c r="J20" s="24">
        <f t="shared" si="16"/>
        <v>139.53262637999995</v>
      </c>
      <c r="K20" s="20">
        <f t="shared" si="17"/>
        <v>139.53262637999995</v>
      </c>
    </row>
    <row r="21" spans="2:14" s="3" customFormat="1">
      <c r="B21" s="7" t="s">
        <v>117</v>
      </c>
      <c r="C21" s="53">
        <f>Scenarios!C13</f>
        <v>44400</v>
      </c>
      <c r="E21" s="54" t="s">
        <v>118</v>
      </c>
      <c r="F21" s="24">
        <f t="shared" ref="F21:K21" si="18">F5+F6++F7+F8+F11+F13+F16+F18+F20</f>
        <v>507.96527432432424</v>
      </c>
      <c r="G21" s="18">
        <f t="shared" si="18"/>
        <v>467.94533825486201</v>
      </c>
      <c r="H21" s="37">
        <f t="shared" si="18"/>
        <v>405.68523100000004</v>
      </c>
      <c r="I21" s="38">
        <f t="shared" si="18"/>
        <v>376.96256233068112</v>
      </c>
      <c r="J21" s="37">
        <f t="shared" si="18"/>
        <v>397.66812637999993</v>
      </c>
      <c r="K21" s="39">
        <f t="shared" si="18"/>
        <v>369.50917452484043</v>
      </c>
    </row>
    <row r="22" spans="2:14">
      <c r="B22" s="7" t="s">
        <v>119</v>
      </c>
      <c r="C22" s="53">
        <f>Scenarios!C14</f>
        <v>44400</v>
      </c>
      <c r="E22" s="16" t="s">
        <v>144</v>
      </c>
      <c r="F22" s="17">
        <f>'Reve per Price'!G15</f>
        <v>487.28649999999993</v>
      </c>
      <c r="G22" s="55">
        <f t="shared" ref="G22:K22" si="19">F22/1.13</f>
        <v>431.22699115044247</v>
      </c>
      <c r="H22" s="17">
        <f>(F22-3)*0.98</f>
        <v>474.6007699999999</v>
      </c>
      <c r="I22" s="56">
        <f t="shared" si="19"/>
        <v>420.00068141592914</v>
      </c>
      <c r="J22" s="17">
        <f>H22*0.98</f>
        <v>465.10875459999988</v>
      </c>
      <c r="K22" s="57">
        <f t="shared" si="19"/>
        <v>411.60066778761058</v>
      </c>
    </row>
    <row r="23" spans="2:14">
      <c r="B23" s="7"/>
      <c r="C23" s="58"/>
      <c r="E23" s="23" t="s">
        <v>120</v>
      </c>
      <c r="F23" s="24">
        <f t="shared" ref="F23:K23" si="20">F22-F5</f>
        <v>237.28649999999993</v>
      </c>
      <c r="G23" s="18">
        <f t="shared" si="20"/>
        <v>209.9880530973451</v>
      </c>
      <c r="H23" s="24">
        <f t="shared" si="20"/>
        <v>229.6007699999999</v>
      </c>
      <c r="I23" s="25">
        <f t="shared" si="20"/>
        <v>203.18652212389372</v>
      </c>
      <c r="J23" s="24">
        <f t="shared" si="20"/>
        <v>225.00875459999989</v>
      </c>
      <c r="K23" s="20">
        <f t="shared" si="20"/>
        <v>199.12279168141586</v>
      </c>
    </row>
    <row r="24" spans="2:14">
      <c r="B24" s="7" t="s">
        <v>121</v>
      </c>
      <c r="C24" s="59">
        <v>0</v>
      </c>
      <c r="E24" s="54" t="s">
        <v>122</v>
      </c>
      <c r="F24" s="60">
        <f t="shared" ref="F24:K24" si="21">F23/F22</f>
        <v>0.48695479969176236</v>
      </c>
      <c r="G24" s="42">
        <f t="shared" si="21"/>
        <v>0.48695479969176236</v>
      </c>
      <c r="H24" s="60">
        <f t="shared" si="21"/>
        <v>0.4837766487399503</v>
      </c>
      <c r="I24" s="43">
        <f t="shared" si="21"/>
        <v>0.4837766487399503</v>
      </c>
      <c r="J24" s="60">
        <f t="shared" si="21"/>
        <v>0.4837766487399503</v>
      </c>
      <c r="K24" s="44">
        <f t="shared" si="21"/>
        <v>0.4837766487399503</v>
      </c>
    </row>
    <row r="25" spans="2:14">
      <c r="B25" s="7" t="s">
        <v>123</v>
      </c>
      <c r="C25" s="59">
        <v>0</v>
      </c>
      <c r="E25" s="23" t="s">
        <v>124</v>
      </c>
      <c r="F25" s="24">
        <f t="shared" ref="F25:K25" si="22">F22-F21</f>
        <v>-20.678774324324309</v>
      </c>
      <c r="G25" s="18">
        <f t="shared" si="22"/>
        <v>-36.718347104419536</v>
      </c>
      <c r="H25" s="24">
        <f t="shared" si="22"/>
        <v>68.915538999999853</v>
      </c>
      <c r="I25" s="25">
        <f t="shared" si="22"/>
        <v>43.038119085248013</v>
      </c>
      <c r="J25" s="24">
        <f t="shared" si="22"/>
        <v>67.440628219999951</v>
      </c>
      <c r="K25" s="20">
        <f t="shared" si="22"/>
        <v>42.091493262770143</v>
      </c>
    </row>
    <row r="26" spans="2:14">
      <c r="B26" s="30" t="s">
        <v>125</v>
      </c>
      <c r="C26" s="61">
        <v>0</v>
      </c>
      <c r="E26" s="54" t="s">
        <v>126</v>
      </c>
      <c r="F26" s="60">
        <f t="shared" ref="F26:K26" si="23">F25/F22</f>
        <v>-4.2436583661407228E-2</v>
      </c>
      <c r="G26" s="42">
        <f t="shared" si="23"/>
        <v>-8.5148536288187901E-2</v>
      </c>
      <c r="H26" s="60">
        <f t="shared" si="23"/>
        <v>0.14520738978152073</v>
      </c>
      <c r="I26" s="43">
        <f t="shared" si="23"/>
        <v>0.10247154585596281</v>
      </c>
      <c r="J26" s="60">
        <f t="shared" si="23"/>
        <v>0.14499969642153876</v>
      </c>
      <c r="K26" s="44">
        <f t="shared" si="23"/>
        <v>0.10226293725181639</v>
      </c>
      <c r="M26" s="3"/>
      <c r="N26" s="3"/>
    </row>
    <row r="27" spans="2:14">
      <c r="E27" s="54" t="s">
        <v>127</v>
      </c>
      <c r="F27" s="62">
        <f>C20+C24</f>
        <v>44400</v>
      </c>
      <c r="G27" s="63">
        <f t="shared" ref="G27:K27" si="24">F27</f>
        <v>44400</v>
      </c>
      <c r="H27" s="64">
        <f>C21+C25</f>
        <v>44400</v>
      </c>
      <c r="I27" s="65">
        <f t="shared" si="24"/>
        <v>44400</v>
      </c>
      <c r="J27" s="64">
        <f>C22+C26</f>
        <v>44400</v>
      </c>
      <c r="K27" s="66">
        <f t="shared" si="24"/>
        <v>44400</v>
      </c>
      <c r="M27" s="67"/>
      <c r="N27" s="67"/>
    </row>
    <row r="28" spans="2:14">
      <c r="B28" s="5" t="s">
        <v>128</v>
      </c>
      <c r="C28" s="36">
        <f>F5</f>
        <v>250</v>
      </c>
      <c r="E28" s="54" t="s">
        <v>129</v>
      </c>
      <c r="F28" s="68">
        <f t="shared" ref="F28:K28" si="25">F27*F22</f>
        <v>21635520.599999998</v>
      </c>
      <c r="G28" s="18">
        <f t="shared" si="25"/>
        <v>19146478.407079645</v>
      </c>
      <c r="H28" s="69">
        <f t="shared" si="25"/>
        <v>21072274.187999997</v>
      </c>
      <c r="I28" s="70">
        <f t="shared" si="25"/>
        <v>18648030.254867252</v>
      </c>
      <c r="J28" s="69">
        <f t="shared" si="25"/>
        <v>20650828.704239994</v>
      </c>
      <c r="K28" s="71">
        <f t="shared" si="25"/>
        <v>18275069.64976991</v>
      </c>
    </row>
    <row r="29" spans="2:14">
      <c r="B29" s="30"/>
      <c r="C29" s="50"/>
      <c r="E29" s="54" t="s">
        <v>130</v>
      </c>
      <c r="F29" s="72">
        <f t="shared" ref="F29:K29" si="26">F27*F25</f>
        <v>-918137.57999999926</v>
      </c>
      <c r="G29" s="73">
        <f t="shared" si="26"/>
        <v>-1630294.6114362273</v>
      </c>
      <c r="H29" s="74">
        <f t="shared" si="26"/>
        <v>3059849.9315999933</v>
      </c>
      <c r="I29" s="75">
        <f t="shared" si="26"/>
        <v>1910892.4873850117</v>
      </c>
      <c r="J29" s="74">
        <f t="shared" si="26"/>
        <v>2994363.8929679981</v>
      </c>
      <c r="K29" s="76">
        <f t="shared" si="26"/>
        <v>1868862.3008669943</v>
      </c>
    </row>
    <row r="39" spans="1:10">
      <c r="A39" s="77"/>
      <c r="D39" s="78"/>
    </row>
    <row r="40" spans="1:10">
      <c r="D40" s="1"/>
    </row>
    <row r="43" spans="1:10">
      <c r="D43" s="79"/>
    </row>
    <row r="46" spans="1:10">
      <c r="J46" s="51"/>
    </row>
    <row r="50" spans="8:11">
      <c r="J50" s="1"/>
      <c r="K50" s="1"/>
    </row>
    <row r="51" spans="8:11">
      <c r="J51" s="1"/>
      <c r="K51" s="1"/>
    </row>
    <row r="52" spans="8:11">
      <c r="J52" s="1"/>
      <c r="K52" s="1"/>
    </row>
    <row r="53" spans="8:11">
      <c r="J53" s="1"/>
      <c r="K53" s="1"/>
    </row>
    <row r="54" spans="8:11">
      <c r="J54" s="1" t="s">
        <v>131</v>
      </c>
      <c r="K54" s="1"/>
    </row>
    <row r="57" spans="8:11">
      <c r="H57" s="2"/>
      <c r="I57" s="2"/>
      <c r="J57" s="2"/>
      <c r="K57" s="2"/>
    </row>
    <row r="58" spans="8:11">
      <c r="H58" s="3"/>
      <c r="I58" s="3"/>
      <c r="J58" s="3"/>
      <c r="K58" s="3"/>
    </row>
    <row r="59" spans="8:11">
      <c r="H59" s="3"/>
      <c r="I59" s="3"/>
      <c r="J59" s="3"/>
      <c r="K59" s="3"/>
    </row>
    <row r="60" spans="8:11">
      <c r="H60" s="3"/>
      <c r="I60" s="3"/>
      <c r="J60" s="3"/>
      <c r="K60" s="3"/>
    </row>
    <row r="61" spans="8:11">
      <c r="H61" s="3"/>
      <c r="I61" s="3"/>
      <c r="J61" s="3"/>
      <c r="K61" s="3"/>
    </row>
    <row r="65" spans="3:11">
      <c r="H65" s="3"/>
      <c r="I65" s="3"/>
      <c r="J65" s="3"/>
      <c r="K65" s="3"/>
    </row>
    <row r="75" spans="3:11">
      <c r="C75" s="1"/>
    </row>
    <row r="76" spans="3:11">
      <c r="C76" s="1"/>
    </row>
    <row r="77" spans="3:11">
      <c r="C77" s="1"/>
    </row>
    <row r="78" spans="3:11">
      <c r="C78" s="1"/>
    </row>
    <row r="79" spans="3:11">
      <c r="C79" s="1"/>
    </row>
    <row r="80" spans="3:11">
      <c r="C80" s="1"/>
    </row>
    <row r="81" spans="1:3">
      <c r="C81" s="1"/>
    </row>
    <row r="82" spans="1:3">
      <c r="C82" s="1"/>
    </row>
    <row r="85" spans="1:3">
      <c r="A85" s="2"/>
      <c r="B85" s="2"/>
      <c r="C85" s="2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</sheetData>
  <mergeCells count="5">
    <mergeCell ref="B1:C1"/>
    <mergeCell ref="F3:G3"/>
    <mergeCell ref="H3:I3"/>
    <mergeCell ref="J3:K3"/>
    <mergeCell ref="M3:N3"/>
  </mergeCells>
  <phoneticPr fontId="3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8"/>
  <sheetViews>
    <sheetView topLeftCell="F1" zoomScale="80" zoomScaleNormal="80" workbookViewId="0">
      <selection activeCell="J39" sqref="J39"/>
    </sheetView>
  </sheetViews>
  <sheetFormatPr defaultColWidth="10.9140625" defaultRowHeight="14.5"/>
  <cols>
    <col min="1" max="1" width="4.75" style="4" customWidth="1"/>
    <col min="2" max="2" width="27.75" style="4" customWidth="1"/>
    <col min="3" max="3" width="18" style="4" customWidth="1"/>
    <col min="4" max="4" width="4.75" style="4" customWidth="1"/>
    <col min="5" max="5" width="29.75" style="4" customWidth="1"/>
    <col min="6" max="6" width="23.33203125" style="4" customWidth="1"/>
    <col min="7" max="8" width="20.08203125" style="4" customWidth="1"/>
    <col min="9" max="9" width="17.9140625" style="4" customWidth="1"/>
    <col min="10" max="10" width="18.6640625" style="4" customWidth="1"/>
    <col min="11" max="11" width="17.9140625" style="4" customWidth="1"/>
    <col min="12" max="12" width="4.75" style="4" customWidth="1"/>
    <col min="13" max="13" width="16.75" style="4" customWidth="1"/>
    <col min="14" max="14" width="18.4140625" style="4" bestFit="1" customWidth="1"/>
    <col min="15" max="15" width="20.08203125" style="4" customWidth="1"/>
    <col min="16" max="16" width="31.58203125" style="4" customWidth="1"/>
    <col min="17" max="16384" width="10.9140625" style="4"/>
  </cols>
  <sheetData>
    <row r="1" spans="2:26" s="1" customFormat="1" ht="20">
      <c r="B1" s="199" t="s">
        <v>133</v>
      </c>
      <c r="C1" s="199"/>
    </row>
    <row r="2" spans="2:26" s="1" customFormat="1"/>
    <row r="3" spans="2:26" s="1" customFormat="1" ht="16.5">
      <c r="B3" s="5" t="s">
        <v>8</v>
      </c>
      <c r="C3" s="6">
        <f>Budget!H3</f>
        <v>600000</v>
      </c>
      <c r="E3" s="4"/>
      <c r="F3" s="176" t="s">
        <v>70</v>
      </c>
      <c r="G3" s="177"/>
      <c r="H3" s="178" t="s">
        <v>71</v>
      </c>
      <c r="I3" s="179"/>
      <c r="J3" s="180" t="s">
        <v>72</v>
      </c>
      <c r="K3" s="181"/>
      <c r="M3" s="182" t="s">
        <v>137</v>
      </c>
      <c r="N3" s="183"/>
    </row>
    <row r="4" spans="2:26" s="1" customFormat="1">
      <c r="B4" s="7" t="s">
        <v>11</v>
      </c>
      <c r="C4" s="8">
        <f>Budget!H4</f>
        <v>715000</v>
      </c>
      <c r="E4" s="2"/>
      <c r="F4" s="9" t="s">
        <v>73</v>
      </c>
      <c r="G4" s="10" t="s">
        <v>74</v>
      </c>
      <c r="H4" s="9" t="s">
        <v>73</v>
      </c>
      <c r="I4" s="11" t="s">
        <v>74</v>
      </c>
      <c r="J4" s="12" t="s">
        <v>73</v>
      </c>
      <c r="K4" s="13" t="s">
        <v>74</v>
      </c>
      <c r="M4" s="14"/>
      <c r="N4" s="15" t="s">
        <v>75</v>
      </c>
    </row>
    <row r="5" spans="2:26" s="1" customFormat="1">
      <c r="B5" s="7" t="s">
        <v>76</v>
      </c>
      <c r="C5" s="8">
        <f>Budget!H5</f>
        <v>481250</v>
      </c>
      <c r="E5" s="16" t="s">
        <v>77</v>
      </c>
      <c r="F5" s="17">
        <f>'Reve per Price'!C4</f>
        <v>250</v>
      </c>
      <c r="G5" s="18">
        <f t="shared" ref="G5:K5" si="0">F5/1.13</f>
        <v>221.23893805309737</v>
      </c>
      <c r="H5" s="17">
        <f>F5*0.98</f>
        <v>245</v>
      </c>
      <c r="I5" s="19">
        <f t="shared" si="0"/>
        <v>216.81415929203541</v>
      </c>
      <c r="J5" s="17">
        <f>H5*0.98</f>
        <v>240.1</v>
      </c>
      <c r="K5" s="20">
        <f t="shared" si="0"/>
        <v>212.47787610619471</v>
      </c>
      <c r="M5" s="21" t="s">
        <v>78</v>
      </c>
      <c r="N5" s="22">
        <f>G22</f>
        <v>431.22699115044247</v>
      </c>
    </row>
    <row r="6" spans="2:26" s="1" customFormat="1">
      <c r="B6" s="7" t="s">
        <v>79</v>
      </c>
      <c r="C6" s="8">
        <f>Budget!H6</f>
        <v>159000</v>
      </c>
      <c r="E6" s="23" t="s">
        <v>80</v>
      </c>
      <c r="F6" s="24">
        <f t="shared" ref="F6:J6" si="1">$C$16+$C$17</f>
        <v>0</v>
      </c>
      <c r="G6" s="18">
        <f t="shared" ref="G6:K6" si="2">F6</f>
        <v>0</v>
      </c>
      <c r="H6" s="24">
        <f t="shared" si="1"/>
        <v>0</v>
      </c>
      <c r="I6" s="25">
        <f t="shared" si="2"/>
        <v>0</v>
      </c>
      <c r="J6" s="24">
        <f t="shared" si="1"/>
        <v>0</v>
      </c>
      <c r="K6" s="20">
        <f t="shared" si="2"/>
        <v>0</v>
      </c>
      <c r="M6" s="26" t="s">
        <v>81</v>
      </c>
      <c r="N6" s="145">
        <f>(N5-N7)/N5</f>
        <v>0.48695479969176236</v>
      </c>
    </row>
    <row r="7" spans="2:26" s="1" customFormat="1">
      <c r="B7" s="7" t="s">
        <v>20</v>
      </c>
      <c r="C7" s="8">
        <f>Budget!H7</f>
        <v>150000</v>
      </c>
      <c r="E7" s="23" t="s">
        <v>82</v>
      </c>
      <c r="F7" s="24">
        <f>(C3+C4-D3)/C20</f>
        <v>73.055555555555557</v>
      </c>
      <c r="G7" s="18">
        <f t="shared" ref="G7:K7" si="3">F7/1.13</f>
        <v>64.650934119960681</v>
      </c>
      <c r="H7" s="24">
        <v>0</v>
      </c>
      <c r="I7" s="25">
        <f t="shared" si="3"/>
        <v>0</v>
      </c>
      <c r="J7" s="24">
        <v>0</v>
      </c>
      <c r="K7" s="20">
        <f t="shared" si="3"/>
        <v>0</v>
      </c>
      <c r="M7" s="27" t="s">
        <v>83</v>
      </c>
      <c r="N7" s="28">
        <f>G5</f>
        <v>221.23893805309737</v>
      </c>
    </row>
    <row r="8" spans="2:26" s="1" customFormat="1">
      <c r="B8" s="7" t="s">
        <v>84</v>
      </c>
      <c r="C8" s="8">
        <f>Budget!H8</f>
        <v>2032800</v>
      </c>
      <c r="E8" s="23" t="s">
        <v>85</v>
      </c>
      <c r="F8" s="24">
        <f>(C9-C3-C4)/C20</f>
        <v>156.83611111111111</v>
      </c>
      <c r="G8" s="18">
        <f>F8/1.13</f>
        <v>138.79301868239924</v>
      </c>
      <c r="H8" s="24">
        <v>0</v>
      </c>
      <c r="I8" s="25">
        <f>H8</f>
        <v>0</v>
      </c>
      <c r="J8" s="24">
        <v>0</v>
      </c>
      <c r="K8" s="20">
        <f>J8</f>
        <v>0</v>
      </c>
      <c r="M8" s="27" t="s">
        <v>86</v>
      </c>
      <c r="N8" s="29"/>
    </row>
    <row r="9" spans="2:26" s="1" customFormat="1">
      <c r="B9" s="30" t="s">
        <v>87</v>
      </c>
      <c r="C9" s="31">
        <f>SUM(C3:C8)</f>
        <v>4138050</v>
      </c>
      <c r="E9" s="16" t="s">
        <v>88</v>
      </c>
      <c r="F9" s="32">
        <v>0</v>
      </c>
      <c r="G9" s="18">
        <f t="shared" ref="G9:K9" si="4">F9/1.09</f>
        <v>0</v>
      </c>
      <c r="H9" s="32">
        <f t="shared" ref="H9:H14" si="5">F9</f>
        <v>0</v>
      </c>
      <c r="I9" s="25">
        <f t="shared" si="4"/>
        <v>0</v>
      </c>
      <c r="J9" s="32">
        <f>H9</f>
        <v>0</v>
      </c>
      <c r="K9" s="20">
        <f t="shared" si="4"/>
        <v>0</v>
      </c>
      <c r="M9" s="27" t="s">
        <v>89</v>
      </c>
      <c r="N9" s="33">
        <f>SUM(C20:C26)</f>
        <v>54000</v>
      </c>
    </row>
    <row r="10" spans="2:26" s="1" customFormat="1">
      <c r="E10" s="16" t="s">
        <v>90</v>
      </c>
      <c r="F10" s="34">
        <v>0.57999999999999996</v>
      </c>
      <c r="G10" s="18">
        <f t="shared" ref="G10:K10" si="6">F10/1.09</f>
        <v>0.53211009174311896</v>
      </c>
      <c r="H10" s="32">
        <f t="shared" si="5"/>
        <v>0.57999999999999996</v>
      </c>
      <c r="I10" s="25">
        <f t="shared" si="6"/>
        <v>0.53211009174311896</v>
      </c>
      <c r="J10" s="32">
        <f>H10</f>
        <v>0.57999999999999996</v>
      </c>
      <c r="K10" s="20">
        <f t="shared" si="6"/>
        <v>0.53211009174311896</v>
      </c>
      <c r="M10" s="27" t="s">
        <v>91</v>
      </c>
      <c r="N10" s="35">
        <f>G28+I28+K28</f>
        <v>22730910.126371682</v>
      </c>
    </row>
    <row r="11" spans="2:26">
      <c r="B11" s="5" t="s">
        <v>92</v>
      </c>
      <c r="C11" s="36">
        <v>0</v>
      </c>
      <c r="E11" s="23" t="s">
        <v>93</v>
      </c>
      <c r="F11" s="24">
        <f t="shared" ref="F11:K11" si="7">F10+F9</f>
        <v>0.57999999999999996</v>
      </c>
      <c r="G11" s="18">
        <f t="shared" si="7"/>
        <v>0.53211009174311896</v>
      </c>
      <c r="H11" s="37">
        <f t="shared" si="7"/>
        <v>0.57999999999999996</v>
      </c>
      <c r="I11" s="38">
        <f t="shared" si="7"/>
        <v>0.53211009174311896</v>
      </c>
      <c r="J11" s="37">
        <f t="shared" si="7"/>
        <v>0.57999999999999996</v>
      </c>
      <c r="K11" s="39">
        <f t="shared" si="7"/>
        <v>0.53211009174311896</v>
      </c>
      <c r="M11" s="27" t="s">
        <v>94</v>
      </c>
      <c r="N11" s="35">
        <f>G23*G27+I23*I27+K23*K27</f>
        <v>11021352.604247784</v>
      </c>
      <c r="Z11" s="1"/>
    </row>
    <row r="12" spans="2:26">
      <c r="B12" s="7" t="s">
        <v>95</v>
      </c>
      <c r="C12" s="40">
        <v>0</v>
      </c>
      <c r="E12" s="16" t="s">
        <v>96</v>
      </c>
      <c r="F12" s="41">
        <v>0.05</v>
      </c>
      <c r="G12" s="42">
        <f t="shared" ref="G12:K12" si="8">F12</f>
        <v>0.05</v>
      </c>
      <c r="H12" s="41">
        <v>0.05</v>
      </c>
      <c r="I12" s="43">
        <f t="shared" si="8"/>
        <v>0.05</v>
      </c>
      <c r="J12" s="41">
        <v>0.05</v>
      </c>
      <c r="K12" s="44">
        <f t="shared" si="8"/>
        <v>0.05</v>
      </c>
      <c r="M12" s="27" t="s">
        <v>97</v>
      </c>
      <c r="N12" s="45">
        <f>N11/N10</f>
        <v>0.48486191459008765</v>
      </c>
    </row>
    <row r="13" spans="2:26" s="2" customFormat="1">
      <c r="B13" s="7" t="s">
        <v>98</v>
      </c>
      <c r="C13" s="40">
        <v>0</v>
      </c>
      <c r="E13" s="23" t="s">
        <v>99</v>
      </c>
      <c r="F13" s="24">
        <f t="shared" ref="F13:J13" si="9">F12*F5</f>
        <v>12.5</v>
      </c>
      <c r="G13" s="18">
        <f t="shared" ref="G13:K13" si="10">F13</f>
        <v>12.5</v>
      </c>
      <c r="H13" s="24">
        <f t="shared" si="9"/>
        <v>12.25</v>
      </c>
      <c r="I13" s="25">
        <f t="shared" si="10"/>
        <v>12.25</v>
      </c>
      <c r="J13" s="24">
        <f t="shared" si="9"/>
        <v>12.005000000000001</v>
      </c>
      <c r="K13" s="20">
        <f t="shared" si="10"/>
        <v>12.005000000000001</v>
      </c>
      <c r="M13" s="27" t="s">
        <v>100</v>
      </c>
      <c r="N13" s="35">
        <f>G29+I29+K29</f>
        <v>-1305997.3691215622</v>
      </c>
    </row>
    <row r="14" spans="2:26" s="3" customFormat="1">
      <c r="B14" s="7" t="s">
        <v>101</v>
      </c>
      <c r="C14" s="40">
        <v>0</v>
      </c>
      <c r="E14" s="16" t="s">
        <v>102</v>
      </c>
      <c r="F14" s="41">
        <v>1.7000000000000001E-2</v>
      </c>
      <c r="G14" s="42">
        <f t="shared" ref="G14:K14" si="11">F14</f>
        <v>1.7000000000000001E-2</v>
      </c>
      <c r="H14" s="41">
        <f t="shared" si="5"/>
        <v>1.7000000000000001E-2</v>
      </c>
      <c r="I14" s="43">
        <f t="shared" si="11"/>
        <v>1.7000000000000001E-2</v>
      </c>
      <c r="J14" s="41">
        <f>F14</f>
        <v>1.7000000000000001E-2</v>
      </c>
      <c r="K14" s="44">
        <f t="shared" si="11"/>
        <v>1.7000000000000001E-2</v>
      </c>
      <c r="M14" s="26" t="s">
        <v>103</v>
      </c>
      <c r="N14" s="46">
        <f>N13/N10</f>
        <v>-5.745468887347302E-2</v>
      </c>
    </row>
    <row r="15" spans="2:26" s="3" customFormat="1">
      <c r="B15" s="7" t="s">
        <v>104</v>
      </c>
      <c r="C15" s="40">
        <v>0</v>
      </c>
      <c r="E15" s="23" t="s">
        <v>105</v>
      </c>
      <c r="F15" s="24">
        <f>C28*F14</f>
        <v>4.25</v>
      </c>
      <c r="G15" s="18">
        <f t="shared" ref="G15:K15" si="12">F15/1.13</f>
        <v>3.7610619469026552</v>
      </c>
      <c r="H15" s="37">
        <f>H14*C28</f>
        <v>4.25</v>
      </c>
      <c r="I15" s="38">
        <f t="shared" si="12"/>
        <v>3.7610619469026552</v>
      </c>
      <c r="J15" s="37">
        <f>J14*C28</f>
        <v>4.25</v>
      </c>
      <c r="K15" s="39">
        <f t="shared" si="12"/>
        <v>3.7610619469026552</v>
      </c>
      <c r="M15" s="21" t="s">
        <v>106</v>
      </c>
      <c r="N15" s="47">
        <f>C9</f>
        <v>4138050</v>
      </c>
    </row>
    <row r="16" spans="2:26" s="3" customFormat="1">
      <c r="B16" s="7" t="s">
        <v>107</v>
      </c>
      <c r="C16" s="48">
        <f>SUM(C11:C15)</f>
        <v>0</v>
      </c>
      <c r="E16" s="23" t="s">
        <v>108</v>
      </c>
      <c r="F16" s="24">
        <f t="shared" ref="F16:K16" si="13">F15</f>
        <v>4.25</v>
      </c>
      <c r="G16" s="18">
        <f t="shared" si="13"/>
        <v>3.7610619469026552</v>
      </c>
      <c r="H16" s="37">
        <f t="shared" si="13"/>
        <v>4.25</v>
      </c>
      <c r="I16" s="38">
        <f t="shared" si="13"/>
        <v>3.7610619469026552</v>
      </c>
      <c r="J16" s="37">
        <f t="shared" si="13"/>
        <v>4.25</v>
      </c>
      <c r="K16" s="39">
        <f t="shared" si="13"/>
        <v>3.7610619469026552</v>
      </c>
      <c r="M16" s="26" t="s">
        <v>109</v>
      </c>
      <c r="N16" s="49">
        <f>N13/N15</f>
        <v>-0.31560695717102555</v>
      </c>
    </row>
    <row r="17" spans="2:14" s="3" customFormat="1">
      <c r="B17" s="30" t="s">
        <v>110</v>
      </c>
      <c r="C17" s="50">
        <v>0</v>
      </c>
      <c r="E17" s="16" t="s">
        <v>111</v>
      </c>
      <c r="F17" s="41">
        <v>5.0000000000000001E-3</v>
      </c>
      <c r="G17" s="42">
        <v>0.01</v>
      </c>
      <c r="H17" s="41">
        <v>5.0000000000000001E-3</v>
      </c>
      <c r="I17" s="43">
        <v>0.01</v>
      </c>
      <c r="J17" s="41">
        <v>5.0000000000000001E-3</v>
      </c>
      <c r="K17" s="44">
        <v>0.01</v>
      </c>
    </row>
    <row r="18" spans="2:14">
      <c r="E18" s="23" t="s">
        <v>112</v>
      </c>
      <c r="F18" s="24">
        <f t="shared" ref="F18:J18" si="14">F5*F17</f>
        <v>1.25</v>
      </c>
      <c r="G18" s="18">
        <f t="shared" ref="G18:K18" si="15">F18</f>
        <v>1.25</v>
      </c>
      <c r="H18" s="37">
        <f t="shared" si="14"/>
        <v>1.2250000000000001</v>
      </c>
      <c r="I18" s="38">
        <f t="shared" si="15"/>
        <v>1.2250000000000001</v>
      </c>
      <c r="J18" s="37">
        <f t="shared" si="14"/>
        <v>1.2004999999999999</v>
      </c>
      <c r="K18" s="39">
        <f t="shared" si="15"/>
        <v>1.2004999999999999</v>
      </c>
    </row>
    <row r="19" spans="2:14">
      <c r="B19" s="51" t="s">
        <v>113</v>
      </c>
      <c r="E19" s="16" t="s">
        <v>114</v>
      </c>
      <c r="F19" s="41">
        <v>0.3</v>
      </c>
      <c r="G19" s="42">
        <v>0.01</v>
      </c>
      <c r="H19" s="41">
        <v>0.3</v>
      </c>
      <c r="I19" s="43">
        <v>0.01</v>
      </c>
      <c r="J19" s="41">
        <v>0.3</v>
      </c>
      <c r="K19" s="44">
        <v>0.01</v>
      </c>
    </row>
    <row r="20" spans="2:14">
      <c r="B20" s="5" t="s">
        <v>115</v>
      </c>
      <c r="C20" s="52">
        <f>Scenarios!C20</f>
        <v>18000</v>
      </c>
      <c r="D20" s="3"/>
      <c r="E20" s="23" t="s">
        <v>116</v>
      </c>
      <c r="F20" s="24">
        <f t="shared" ref="F20:J20" si="16">F19*F22</f>
        <v>146.18594999999996</v>
      </c>
      <c r="G20" s="18">
        <f t="shared" ref="G20:K20" si="17">F20</f>
        <v>146.18594999999996</v>
      </c>
      <c r="H20" s="24">
        <f t="shared" si="16"/>
        <v>142.38023099999995</v>
      </c>
      <c r="I20" s="25">
        <f t="shared" si="17"/>
        <v>142.38023099999995</v>
      </c>
      <c r="J20" s="24">
        <f t="shared" si="16"/>
        <v>139.53262637999995</v>
      </c>
      <c r="K20" s="20">
        <f t="shared" si="17"/>
        <v>139.53262637999995</v>
      </c>
    </row>
    <row r="21" spans="2:14" s="3" customFormat="1">
      <c r="B21" s="7" t="s">
        <v>117</v>
      </c>
      <c r="C21" s="53">
        <f>Scenarios!C21</f>
        <v>18000</v>
      </c>
      <c r="E21" s="54" t="s">
        <v>118</v>
      </c>
      <c r="F21" s="24">
        <f t="shared" ref="F21:K21" si="18">F5+F6++F7+F8+F11+F13+F16+F18+F20</f>
        <v>644.65761666666663</v>
      </c>
      <c r="G21" s="18">
        <f t="shared" si="18"/>
        <v>588.91201289410299</v>
      </c>
      <c r="H21" s="37">
        <f t="shared" si="18"/>
        <v>405.68523100000004</v>
      </c>
      <c r="I21" s="38">
        <f t="shared" si="18"/>
        <v>376.96256233068112</v>
      </c>
      <c r="J21" s="37">
        <f t="shared" si="18"/>
        <v>397.66812637999993</v>
      </c>
      <c r="K21" s="39">
        <f t="shared" si="18"/>
        <v>369.50917452484043</v>
      </c>
    </row>
    <row r="22" spans="2:14">
      <c r="B22" s="7" t="s">
        <v>119</v>
      </c>
      <c r="C22" s="53">
        <f>Scenarios!C22</f>
        <v>18000</v>
      </c>
      <c r="E22" s="16" t="s">
        <v>144</v>
      </c>
      <c r="F22" s="17">
        <f>'Reve per Price'!C15</f>
        <v>487.28649999999993</v>
      </c>
      <c r="G22" s="55">
        <f t="shared" ref="G22:K22" si="19">F22/1.13</f>
        <v>431.22699115044247</v>
      </c>
      <c r="H22" s="17">
        <f>(F22-3)*0.98</f>
        <v>474.6007699999999</v>
      </c>
      <c r="I22" s="56">
        <f t="shared" si="19"/>
        <v>420.00068141592914</v>
      </c>
      <c r="J22" s="17">
        <f>H22*0.98</f>
        <v>465.10875459999988</v>
      </c>
      <c r="K22" s="57">
        <f t="shared" si="19"/>
        <v>411.60066778761058</v>
      </c>
    </row>
    <row r="23" spans="2:14">
      <c r="B23" s="7"/>
      <c r="C23" s="58"/>
      <c r="E23" s="23" t="s">
        <v>120</v>
      </c>
      <c r="F23" s="24">
        <f t="shared" ref="F23:K23" si="20">F22-F5</f>
        <v>237.28649999999993</v>
      </c>
      <c r="G23" s="18">
        <f t="shared" si="20"/>
        <v>209.9880530973451</v>
      </c>
      <c r="H23" s="24">
        <f t="shared" si="20"/>
        <v>229.6007699999999</v>
      </c>
      <c r="I23" s="25">
        <f t="shared" si="20"/>
        <v>203.18652212389372</v>
      </c>
      <c r="J23" s="24">
        <f t="shared" si="20"/>
        <v>225.00875459999989</v>
      </c>
      <c r="K23" s="20">
        <f t="shared" si="20"/>
        <v>199.12279168141586</v>
      </c>
    </row>
    <row r="24" spans="2:14">
      <c r="B24" s="7" t="s">
        <v>121</v>
      </c>
      <c r="C24" s="59">
        <v>0</v>
      </c>
      <c r="E24" s="54" t="s">
        <v>122</v>
      </c>
      <c r="F24" s="60">
        <f t="shared" ref="F24:K24" si="21">F23/F22</f>
        <v>0.48695479969176236</v>
      </c>
      <c r="G24" s="42">
        <f t="shared" si="21"/>
        <v>0.48695479969176236</v>
      </c>
      <c r="H24" s="60">
        <f t="shared" si="21"/>
        <v>0.4837766487399503</v>
      </c>
      <c r="I24" s="43">
        <f t="shared" si="21"/>
        <v>0.4837766487399503</v>
      </c>
      <c r="J24" s="60">
        <f t="shared" si="21"/>
        <v>0.4837766487399503</v>
      </c>
      <c r="K24" s="44">
        <f t="shared" si="21"/>
        <v>0.4837766487399503</v>
      </c>
    </row>
    <row r="25" spans="2:14">
      <c r="B25" s="7" t="s">
        <v>123</v>
      </c>
      <c r="C25" s="59">
        <v>0</v>
      </c>
      <c r="E25" s="23" t="s">
        <v>124</v>
      </c>
      <c r="F25" s="24">
        <f t="shared" ref="F25:K25" si="22">F22-F21</f>
        <v>-157.37111666666669</v>
      </c>
      <c r="G25" s="18">
        <f t="shared" si="22"/>
        <v>-157.68502174366051</v>
      </c>
      <c r="H25" s="24">
        <f t="shared" si="22"/>
        <v>68.915538999999853</v>
      </c>
      <c r="I25" s="25">
        <f t="shared" si="22"/>
        <v>43.038119085248013</v>
      </c>
      <c r="J25" s="24">
        <f t="shared" si="22"/>
        <v>67.440628219999951</v>
      </c>
      <c r="K25" s="20">
        <f t="shared" si="22"/>
        <v>42.091493262770143</v>
      </c>
    </row>
    <row r="26" spans="2:14">
      <c r="B26" s="30" t="s">
        <v>125</v>
      </c>
      <c r="C26" s="61">
        <v>0</v>
      </c>
      <c r="E26" s="54" t="s">
        <v>126</v>
      </c>
      <c r="F26" s="60">
        <f t="shared" ref="F26:K26" si="23">F25/F22</f>
        <v>-0.32295398429192418</v>
      </c>
      <c r="G26" s="42">
        <f t="shared" si="23"/>
        <v>-0.36566593691870469</v>
      </c>
      <c r="H26" s="60">
        <f t="shared" si="23"/>
        <v>0.14520738978152073</v>
      </c>
      <c r="I26" s="43">
        <f t="shared" si="23"/>
        <v>0.10247154585596281</v>
      </c>
      <c r="J26" s="60">
        <f t="shared" si="23"/>
        <v>0.14499969642153876</v>
      </c>
      <c r="K26" s="44">
        <f t="shared" si="23"/>
        <v>0.10226293725181639</v>
      </c>
      <c r="M26" s="3"/>
      <c r="N26" s="3"/>
    </row>
    <row r="27" spans="2:14">
      <c r="E27" s="54" t="s">
        <v>127</v>
      </c>
      <c r="F27" s="62">
        <f>C20+C24</f>
        <v>18000</v>
      </c>
      <c r="G27" s="63">
        <f t="shared" ref="G27:K27" si="24">F27</f>
        <v>18000</v>
      </c>
      <c r="H27" s="64">
        <f>C21+C25</f>
        <v>18000</v>
      </c>
      <c r="I27" s="65">
        <f t="shared" si="24"/>
        <v>18000</v>
      </c>
      <c r="J27" s="64">
        <f>C22+C26</f>
        <v>18000</v>
      </c>
      <c r="K27" s="66">
        <f t="shared" si="24"/>
        <v>18000</v>
      </c>
      <c r="M27" s="67"/>
      <c r="N27" s="67"/>
    </row>
    <row r="28" spans="2:14">
      <c r="B28" s="5" t="s">
        <v>128</v>
      </c>
      <c r="C28" s="36">
        <f>F5</f>
        <v>250</v>
      </c>
      <c r="E28" s="54" t="s">
        <v>129</v>
      </c>
      <c r="F28" s="68">
        <f t="shared" ref="F28:K28" si="25">F27*F22</f>
        <v>8771156.9999999981</v>
      </c>
      <c r="G28" s="18">
        <f t="shared" si="25"/>
        <v>7762085.8407079643</v>
      </c>
      <c r="H28" s="69">
        <f t="shared" si="25"/>
        <v>8542813.8599999975</v>
      </c>
      <c r="I28" s="70">
        <f t="shared" si="25"/>
        <v>7560012.2654867247</v>
      </c>
      <c r="J28" s="69">
        <f t="shared" si="25"/>
        <v>8371957.5827999981</v>
      </c>
      <c r="K28" s="71">
        <f t="shared" si="25"/>
        <v>7408812.02017699</v>
      </c>
    </row>
    <row r="29" spans="2:14">
      <c r="B29" s="30"/>
      <c r="C29" s="50"/>
      <c r="E29" s="54" t="s">
        <v>130</v>
      </c>
      <c r="F29" s="72">
        <f t="shared" ref="F29:K29" si="26">F27*F25</f>
        <v>-2832680.1000000006</v>
      </c>
      <c r="G29" s="73">
        <f t="shared" si="26"/>
        <v>-2838330.3913858891</v>
      </c>
      <c r="H29" s="74">
        <f t="shared" si="26"/>
        <v>1240479.7019999973</v>
      </c>
      <c r="I29" s="75">
        <f t="shared" si="26"/>
        <v>774686.14353446418</v>
      </c>
      <c r="J29" s="74">
        <f t="shared" si="26"/>
        <v>1213931.3079599992</v>
      </c>
      <c r="K29" s="76">
        <f t="shared" si="26"/>
        <v>757646.87872986263</v>
      </c>
    </row>
    <row r="39" spans="1:10">
      <c r="A39" s="77"/>
      <c r="D39" s="78"/>
    </row>
    <row r="40" spans="1:10">
      <c r="D40" s="1"/>
    </row>
    <row r="43" spans="1:10">
      <c r="D43" s="79"/>
    </row>
    <row r="46" spans="1:10">
      <c r="J46" s="51"/>
    </row>
    <row r="50" spans="8:11">
      <c r="J50" s="1"/>
      <c r="K50" s="1"/>
    </row>
    <row r="51" spans="8:11">
      <c r="J51" s="1"/>
      <c r="K51" s="1"/>
    </row>
    <row r="52" spans="8:11">
      <c r="J52" s="1"/>
      <c r="K52" s="1"/>
    </row>
    <row r="53" spans="8:11">
      <c r="J53" s="1"/>
      <c r="K53" s="1"/>
    </row>
    <row r="54" spans="8:11">
      <c r="J54" s="1" t="s">
        <v>131</v>
      </c>
      <c r="K54" s="1"/>
    </row>
    <row r="57" spans="8:11">
      <c r="H57" s="2"/>
      <c r="I57" s="2"/>
      <c r="J57" s="2"/>
      <c r="K57" s="2"/>
    </row>
    <row r="58" spans="8:11">
      <c r="H58" s="3"/>
      <c r="I58" s="3"/>
      <c r="J58" s="3"/>
      <c r="K58" s="3"/>
    </row>
    <row r="59" spans="8:11">
      <c r="H59" s="3"/>
      <c r="I59" s="3"/>
      <c r="J59" s="3"/>
      <c r="K59" s="3"/>
    </row>
    <row r="60" spans="8:11">
      <c r="H60" s="3"/>
      <c r="I60" s="3"/>
      <c r="J60" s="3"/>
      <c r="K60" s="3"/>
    </row>
    <row r="61" spans="8:11">
      <c r="H61" s="3"/>
      <c r="I61" s="3"/>
      <c r="J61" s="3"/>
      <c r="K61" s="3"/>
    </row>
    <row r="65" spans="3:11">
      <c r="H65" s="3"/>
      <c r="I65" s="3"/>
      <c r="J65" s="3"/>
      <c r="K65" s="3"/>
    </row>
    <row r="75" spans="3:11">
      <c r="C75" s="1"/>
    </row>
    <row r="76" spans="3:11">
      <c r="C76" s="1"/>
    </row>
    <row r="77" spans="3:11">
      <c r="C77" s="1"/>
    </row>
    <row r="78" spans="3:11">
      <c r="C78" s="1"/>
    </row>
    <row r="79" spans="3:11">
      <c r="C79" s="1"/>
    </row>
    <row r="80" spans="3:11">
      <c r="C80" s="1"/>
    </row>
    <row r="81" spans="1:3">
      <c r="C81" s="1"/>
    </row>
    <row r="82" spans="1:3">
      <c r="C82" s="1"/>
    </row>
    <row r="85" spans="1:3">
      <c r="A85" s="2"/>
      <c r="B85" s="2"/>
      <c r="C85" s="2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</sheetData>
  <mergeCells count="5">
    <mergeCell ref="B1:C1"/>
    <mergeCell ref="F3:G3"/>
    <mergeCell ref="H3:I3"/>
    <mergeCell ref="J3:K3"/>
    <mergeCell ref="M3:N3"/>
  </mergeCells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Budget</vt:lpstr>
      <vt:lpstr>销量概率分布说明</vt:lpstr>
      <vt:lpstr>分位表</vt:lpstr>
      <vt:lpstr>Scenarios</vt:lpstr>
      <vt:lpstr>Reve per Price</vt:lpstr>
      <vt:lpstr>定价测算</vt:lpstr>
      <vt:lpstr>Normal Secnario</vt:lpstr>
      <vt:lpstr>Best Secnario</vt:lpstr>
      <vt:lpstr>Worst Secnario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楠翔 盛</dc:creator>
  <cp:lastModifiedBy>楠翔 盛</cp:lastModifiedBy>
  <dcterms:created xsi:type="dcterms:W3CDTF">2023-12-04T08:32:00Z</dcterms:created>
  <dcterms:modified xsi:type="dcterms:W3CDTF">2026-10-26T14:12:17Z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9F6057C652064BAF9F931DE71358FBFE_13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